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arshilPanchal\"/>
    </mc:Choice>
  </mc:AlternateContent>
  <xr:revisionPtr revIDLastSave="0" documentId="8_{91211867-E3F5-4FE5-ABFD-2599B683D5E0}" xr6:coauthVersionLast="47" xr6:coauthVersionMax="47" xr10:uidLastSave="{00000000-0000-0000-0000-000000000000}"/>
  <bookViews>
    <workbookView xWindow="-108" yWindow="-108" windowWidth="23256" windowHeight="12456" activeTab="1" xr2:uid="{A31F09EB-BC4A-4E28-AFD6-656B84808B88}"/>
  </bookViews>
  <sheets>
    <sheet name="Inventory Records Data" sheetId="2" r:id="rId1"/>
    <sheet name="Summ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E59" i="2"/>
  <c r="D53" i="2" a="1"/>
  <c r="D53" i="2" s="1"/>
  <c r="I6" i="3"/>
  <c r="G6" i="3"/>
  <c r="F6" i="3"/>
  <c r="E6" i="3"/>
  <c r="D6" i="3"/>
  <c r="T16" i="2"/>
  <c r="T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<sst xmlns="http://schemas.openxmlformats.org/spreadsheetml/2006/main" count="116" uniqueCount="114">
  <si>
    <t>Excel Sample Data</t>
  </si>
  <si>
    <t>Inventory Records Data</t>
  </si>
  <si>
    <t>Product ID</t>
  </si>
  <si>
    <t>Opening 
Stock</t>
  </si>
  <si>
    <t>Purchase/
Stock in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</si>
  <si>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</si>
  <si>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</si>
  <si>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</si>
  <si>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</si>
  <si>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</si>
  <si>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</si>
  <si>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</si>
  <si>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</si>
  <si>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</si>
  <si>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</si>
  <si>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</si>
  <si>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</si>
  <si>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</si>
  <si>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</si>
  <si>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</si>
  <si>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</si>
  <si>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</si>
  <si>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</si>
  <si>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</si>
  <si>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</si>
  <si>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</si>
  <si>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</si>
  <si>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</si>
  <si>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</si>
  <si>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</si>
  <si>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</si>
  <si>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</si>
  <si>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</si>
  <si>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</si>
  <si>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</si>
  <si>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</si>
  <si>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</si>
  <si>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</si>
  <si>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</si>
  <si>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</si>
  <si>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</si>
  <si>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</si>
  <si>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</si>
  <si>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</si>
  <si>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</si>
  <si>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</si>
  <si>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</si>
  <si>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</si>
  <si>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</si>
  <si>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</si>
  <si>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</si>
  <si>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</si>
  <si>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</si>
  <si>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</si>
  <si>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</si>
  <si>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</si>
  <si>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</si>
  <si>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</si>
  <si>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</si>
  <si>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</si>
  <si>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</si>
  <si>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</si>
  <si>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</si>
  <si>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</si>
  <si>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</si>
  <si>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</si>
  <si>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</si>
  <si>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</si>
  <si>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</si>
  <si>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</si>
  <si>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</si>
  <si>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</si>
  <si>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</si>
  <si>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</si>
  <si>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</si>
  <si>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</si>
  <si>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</si>
  <si>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</si>
  <si>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</si>
  <si>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</si>
  <si>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</si>
  <si>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</si>
  <si>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</si>
  <si>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</si>
  <si>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</si>
  <si>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</si>
  <si>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</si>
  <si>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</si>
  <si>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</si>
  <si>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</si>
  <si>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</si>
  <si>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</si>
  <si>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</si>
  <si>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</si>
  <si>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</si>
  <si>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</si>
  <si>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</si>
  <si>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</si>
  <si>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</si>
  <si>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</si>
  <si>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Total Opening Stock</t>
  </si>
  <si>
    <t>Total Purchased Stock</t>
  </si>
  <si>
    <t>Total Units Sold</t>
  </si>
  <si>
    <t>Total Closing Stock</t>
  </si>
  <si>
    <t>Average Cost per Unit</t>
  </si>
  <si>
    <t>Total Inventory Value</t>
  </si>
  <si>
    <t>Highest Cost Product</t>
  </si>
  <si>
    <t>Lowest Cost Product</t>
  </si>
  <si>
    <t>Highest inventory</t>
  </si>
  <si>
    <t>smartphone</t>
  </si>
  <si>
    <t>Lowest cost</t>
  </si>
  <si>
    <t>USB Flash drive</t>
  </si>
  <si>
    <t>Product Name,</t>
  </si>
  <si>
    <t>Numbers of units Sold,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</si>
</sst>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410277662660582E-2"/>
          <c:y val="0.20191074939820652"/>
          <c:w val="0.93458963696953612"/>
          <c:h val="0.48269543328578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'Inventory Records Data'!$D$6</c:f>
              <c:strCache>
                <c:ptCount val="1"/>
                <c:pt idx="0">
                  <c:v>Opening 
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'Inventory Records Data'!$B$7:$C$52</c15:sqref>
                  </c15:fullRef>
                  <c15:levelRef>
                    <c15:sqref>'Inventory Records Data'!$B$7:$B$52</c15:sqref>
                  </c15:levelRef>
                </c:ext>
              </c:extLst>
              <c:f>'Inventory Records Data'!$B$7:$B$33</c:f>
              <c:strCache>
                <c:ptCount val="27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  <c:pt idx="4">
                  <c:v>P105</c:v>
                </c:pt>
                <c:pt idx="5">
                  <c:v>P106</c:v>
                </c:pt>
                <c:pt idx="6">
                  <c:v>P107</c:v>
                </c:pt>
                <c:pt idx="7">
                  <c:v>P108</c:v>
                </c:pt>
                <c:pt idx="8">
                  <c:v>P109</c:v>
                </c:pt>
                <c:pt idx="9">
                  <c:v>P110</c:v>
                </c:pt>
                <c:pt idx="10">
                  <c:v>P111</c:v>
                </c:pt>
                <c:pt idx="11">
                  <c:v>P112</c:v>
                </c:pt>
                <c:pt idx="12">
                  <c:v>P113</c:v>
                </c:pt>
                <c:pt idx="13">
                  <c:v>P114</c:v>
                </c:pt>
                <c:pt idx="14">
                  <c:v>P115</c:v>
                </c:pt>
                <c:pt idx="15">
                  <c:v>P116</c:v>
                </c:pt>
                <c:pt idx="16">
                  <c:v>P117</c:v>
                </c:pt>
                <c:pt idx="17">
                  <c:v>P118</c:v>
                </c:pt>
                <c:pt idx="18">
                  <c:v>P119</c:v>
                </c:pt>
                <c:pt idx="19">
                  <c:v>P120</c:v>
                </c:pt>
                <c:pt idx="20">
                  <c:v>P121</c:v>
                </c:pt>
                <c:pt idx="21">
                  <c:v>P122</c:v>
                </c:pt>
                <c:pt idx="22">
                  <c:v>P123</c:v>
                </c:pt>
                <c:pt idx="23">
                  <c:v>P124</c:v>
                </c:pt>
                <c:pt idx="24">
                  <c:v>P125</c:v>
                </c:pt>
                <c:pt idx="25">
                  <c:v>P126</c:v>
                </c:pt>
                <c:pt idx="26">
                  <c:v>P127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'Inventory Records Data'!$D$7:$D$52</c15:sqref>
                  </c15:fullRef>
                </c:ext>
              </c:extLst>
              <c:f>'Inventory Records Data'!$D$7:$D$33</c:f>
              <c:numCache>
                <c:formatCode>General</c:formatCode>
                <c:ptCount val="27"/>
                <c:pt idx="0">
                  <c:v>50</c:v>
                </c:pt>
                <c:pt idx="1">
                  <c:v>40</c:v>
                </c:pt>
                <c:pt idx="2">
                  <c:v>60</c:v>
                </c:pt>
                <c:pt idx="3">
                  <c:v>30</c:v>
                </c:pt>
                <c:pt idx="4">
                  <c:v>70</c:v>
                </c:pt>
                <c:pt idx="5">
                  <c:v>45</c:v>
                </c:pt>
                <c:pt idx="6">
                  <c:v>55</c:v>
                </c:pt>
                <c:pt idx="7">
                  <c:v>25</c:v>
                </c:pt>
                <c:pt idx="8">
                  <c:v>35</c:v>
                </c:pt>
                <c:pt idx="9">
                  <c:v>40</c:v>
                </c:pt>
                <c:pt idx="10">
                  <c:v>20</c:v>
                </c:pt>
                <c:pt idx="11">
                  <c:v>30</c:v>
                </c:pt>
                <c:pt idx="12">
                  <c:v>50</c:v>
                </c:pt>
                <c:pt idx="13">
                  <c:v>60</c:v>
                </c:pt>
                <c:pt idx="14">
                  <c:v>40</c:v>
                </c:pt>
                <c:pt idx="15">
                  <c:v>35</c:v>
                </c:pt>
                <c:pt idx="16">
                  <c:v>25</c:v>
                </c:pt>
                <c:pt idx="17">
                  <c:v>30</c:v>
                </c:pt>
                <c:pt idx="18">
                  <c:v>20</c:v>
                </c:pt>
                <c:pt idx="19">
                  <c:v>15</c:v>
                </c:pt>
                <c:pt idx="20">
                  <c:v>25</c:v>
                </c:pt>
                <c:pt idx="21">
                  <c:v>40</c:v>
                </c:pt>
                <c:pt idx="22">
                  <c:v>30</c:v>
                </c:pt>
                <c:pt idx="23">
                  <c:v>25</c:v>
                </c:pt>
                <c:pt idx="24">
                  <c:v>50</c:v>
                </c:pt>
                <c:pt idx="25">
                  <c:v>45</c:v>
                </c:pt>
                <c:pt idx="2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1-4A4F-99E9-6720EECA4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475472"/>
        <c:axId val="8854759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'Inventory Records Data'!$E$6</c15:sqref>
                        </c15:formulaRef>
                      </c:ext>
                    </c:extLst>
                    <c:strCache>
                      <c:ptCount val="1"/>
                      <c:pt idx="0">
                        <c:v>Purchase/
Stock in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'Inventory Records Data'!$B$7:$C$52</c15:sqref>
                        </c15:fullRef>
                        <c15:levelRef>
                          <c15:sqref>'Inventory Records Data'!$B$7:$B$52</c15:sqref>
                        </c15:levelRef>
                        <c15:formulaRef>
                          <c15:sqref>'Inventory Records Data'!$B$7:$B$33</c15:sqref>
                        </c15:formulaRef>
                      </c:ext>
                    </c:extLst>
                    <c:strCache>
                      <c:ptCount val="27"/>
                      <c:pt idx="0">
                        <c:v>P101</c:v>
                      </c:pt>
                      <c:pt idx="1">
                        <c:v>P102</c:v>
                      </c:pt>
                      <c:pt idx="2">
                        <c:v>P103</c:v>
                      </c:pt>
                      <c:pt idx="3">
                        <c:v>P104</c:v>
                      </c:pt>
                      <c:pt idx="4">
                        <c:v>P105</c:v>
                      </c:pt>
                      <c:pt idx="5">
                        <c:v>P106</c:v>
                      </c:pt>
                      <c:pt idx="6">
                        <c:v>P107</c:v>
                      </c:pt>
                      <c:pt idx="7">
                        <c:v>P108</c:v>
                      </c:pt>
                      <c:pt idx="8">
                        <c:v>P109</c:v>
                      </c:pt>
                      <c:pt idx="9">
                        <c:v>P110</c:v>
                      </c:pt>
                      <c:pt idx="10">
                        <c:v>P111</c:v>
                      </c:pt>
                      <c:pt idx="11">
                        <c:v>P112</c:v>
                      </c:pt>
                      <c:pt idx="12">
                        <c:v>P113</c:v>
                      </c:pt>
                      <c:pt idx="13">
                        <c:v>P114</c:v>
                      </c:pt>
                      <c:pt idx="14">
                        <c:v>P115</c:v>
                      </c:pt>
                      <c:pt idx="15">
                        <c:v>P116</c:v>
                      </c:pt>
                      <c:pt idx="16">
                        <c:v>P117</c:v>
                      </c:pt>
                      <c:pt idx="17">
                        <c:v>P118</c:v>
                      </c:pt>
                      <c:pt idx="18">
                        <c:v>P119</c:v>
                      </c:pt>
                      <c:pt idx="19">
                        <c:v>P120</c:v>
                      </c:pt>
                      <c:pt idx="20">
                        <c:v>P121</c:v>
                      </c:pt>
                      <c:pt idx="21">
                        <c:v>P122</c:v>
                      </c:pt>
                      <c:pt idx="22">
                        <c:v>P123</c:v>
                      </c:pt>
                      <c:pt idx="23">
                        <c:v>P124</c:v>
                      </c:pt>
                      <c:pt idx="24">
                        <c:v>P125</c:v>
                      </c:pt>
                      <c:pt idx="25">
                        <c:v>P126</c:v>
                      </c:pt>
                      <c:pt idx="26">
                        <c:v>P127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'Inventory Records Data'!$E$7:$E$52</c15:sqref>
                        </c15:fullRef>
                        <c15:formulaRef>
                          <c15:sqref>'Inventory Records Data'!$E$7:$E$33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20</c:v>
                      </c:pt>
                      <c:pt idx="1">
                        <c:v>15</c:v>
                      </c:pt>
                      <c:pt idx="2">
                        <c:v>25</c:v>
                      </c:pt>
                      <c:pt idx="3">
                        <c:v>10</c:v>
                      </c:pt>
                      <c:pt idx="4">
                        <c:v>30</c:v>
                      </c:pt>
                      <c:pt idx="5">
                        <c:v>18</c:v>
                      </c:pt>
                      <c:pt idx="6">
                        <c:v>22</c:v>
                      </c:pt>
                      <c:pt idx="7">
                        <c:v>12</c:v>
                      </c:pt>
                      <c:pt idx="8">
                        <c:v>15</c:v>
                      </c:pt>
                      <c:pt idx="9">
                        <c:v>20</c:v>
                      </c:pt>
                      <c:pt idx="10">
                        <c:v>8</c:v>
                      </c:pt>
                      <c:pt idx="11">
                        <c:v>15</c:v>
                      </c:pt>
                      <c:pt idx="12">
                        <c:v>25</c:v>
                      </c:pt>
                      <c:pt idx="13">
                        <c:v>30</c:v>
                      </c:pt>
                      <c:pt idx="14">
                        <c:v>20</c:v>
                      </c:pt>
                      <c:pt idx="15">
                        <c:v>15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8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18</c:v>
                      </c:pt>
                      <c:pt idx="22">
                        <c:v>15</c:v>
                      </c:pt>
                      <c:pt idx="23">
                        <c:v>12</c:v>
                      </c:pt>
                      <c:pt idx="24">
                        <c:v>22</c:v>
                      </c:pt>
                      <c:pt idx="25">
                        <c:v>20</c:v>
                      </c:pt>
                      <c:pt idx="26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5E1-4A4F-99E9-6720EECA450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Data'!$F$6</c15:sqref>
                        </c15:formulaRef>
                      </c:ext>
                    </c:extLst>
                    <c:strCache>
                      <c:ptCount val="1"/>
                      <c:pt idx="0">
                        <c:v>Numbers of units Sold,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'Inventory Records Data'!$B$7:$C$52</c15:sqref>
                        </c15:fullRef>
                        <c15:levelRef>
                          <c15:sqref>'Inventory Records Data'!$B$7:$B$52</c15:sqref>
                        </c15:levelRef>
                        <c15:formulaRef>
                          <c15:sqref>'Inventory Records Data'!$B$7:$B$33</c15:sqref>
                        </c15:formulaRef>
                      </c:ext>
                    </c:extLst>
                    <c:strCache>
                      <c:ptCount val="27"/>
                      <c:pt idx="0">
                        <c:v>P101</c:v>
                      </c:pt>
                      <c:pt idx="1">
                        <c:v>P102</c:v>
                      </c:pt>
                      <c:pt idx="2">
                        <c:v>P103</c:v>
                      </c:pt>
                      <c:pt idx="3">
                        <c:v>P104</c:v>
                      </c:pt>
                      <c:pt idx="4">
                        <c:v>P105</c:v>
                      </c:pt>
                      <c:pt idx="5">
                        <c:v>P106</c:v>
                      </c:pt>
                      <c:pt idx="6">
                        <c:v>P107</c:v>
                      </c:pt>
                      <c:pt idx="7">
                        <c:v>P108</c:v>
                      </c:pt>
                      <c:pt idx="8">
                        <c:v>P109</c:v>
                      </c:pt>
                      <c:pt idx="9">
                        <c:v>P110</c:v>
                      </c:pt>
                      <c:pt idx="10">
                        <c:v>P111</c:v>
                      </c:pt>
                      <c:pt idx="11">
                        <c:v>P112</c:v>
                      </c:pt>
                      <c:pt idx="12">
                        <c:v>P113</c:v>
                      </c:pt>
                      <c:pt idx="13">
                        <c:v>P114</c:v>
                      </c:pt>
                      <c:pt idx="14">
                        <c:v>P115</c:v>
                      </c:pt>
                      <c:pt idx="15">
                        <c:v>P116</c:v>
                      </c:pt>
                      <c:pt idx="16">
                        <c:v>P117</c:v>
                      </c:pt>
                      <c:pt idx="17">
                        <c:v>P118</c:v>
                      </c:pt>
                      <c:pt idx="18">
                        <c:v>P119</c:v>
                      </c:pt>
                      <c:pt idx="19">
                        <c:v>P120</c:v>
                      </c:pt>
                      <c:pt idx="20">
                        <c:v>P121</c:v>
                      </c:pt>
                      <c:pt idx="21">
                        <c:v>P122</c:v>
                      </c:pt>
                      <c:pt idx="22">
                        <c:v>P123</c:v>
                      </c:pt>
                      <c:pt idx="23">
                        <c:v>P124</c:v>
                      </c:pt>
                      <c:pt idx="24">
                        <c:v>P125</c:v>
                      </c:pt>
                      <c:pt idx="25">
                        <c:v>P126</c:v>
                      </c:pt>
                      <c:pt idx="26">
                        <c:v>P127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'Inventory Records Data'!$F$7:$F$52</c15:sqref>
                        </c15:fullRef>
                        <c15:formulaRef>
                          <c15:sqref>'Inventory Records Data'!$F$7:$F$33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10</c:v>
                      </c:pt>
                      <c:pt idx="1">
                        <c:v>5</c:v>
                      </c:pt>
                      <c:pt idx="2">
                        <c:v>15</c:v>
                      </c:pt>
                      <c:pt idx="3">
                        <c:v>3</c:v>
                      </c:pt>
                      <c:pt idx="4">
                        <c:v>20</c:v>
                      </c:pt>
                      <c:pt idx="5">
                        <c:v>8</c:v>
                      </c:pt>
                      <c:pt idx="6">
                        <c:v>12</c:v>
                      </c:pt>
                      <c:pt idx="7">
                        <c:v>5</c:v>
                      </c:pt>
                      <c:pt idx="8">
                        <c:v>7</c:v>
                      </c:pt>
                      <c:pt idx="9">
                        <c:v>10</c:v>
                      </c:pt>
                      <c:pt idx="10">
                        <c:v>3</c:v>
                      </c:pt>
                      <c:pt idx="11">
                        <c:v>7</c:v>
                      </c:pt>
                      <c:pt idx="12">
                        <c:v>12</c:v>
                      </c:pt>
                      <c:pt idx="13">
                        <c:v>15</c:v>
                      </c:pt>
                      <c:pt idx="14">
                        <c:v>8</c:v>
                      </c:pt>
                      <c:pt idx="15">
                        <c:v>5</c:v>
                      </c:pt>
                      <c:pt idx="16">
                        <c:v>4</c:v>
                      </c:pt>
                      <c:pt idx="17">
                        <c:v>6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9</c:v>
                      </c:pt>
                      <c:pt idx="22">
                        <c:v>7</c:v>
                      </c:pt>
                      <c:pt idx="23">
                        <c:v>5</c:v>
                      </c:pt>
                      <c:pt idx="24">
                        <c:v>11</c:v>
                      </c:pt>
                      <c:pt idx="25">
                        <c:v>8</c:v>
                      </c:pt>
                      <c:pt idx="26">
                        <c:v>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5E1-4A4F-99E9-6720EECA450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Data'!$G$6</c15:sqref>
                        </c15:formulaRef>
                      </c:ext>
                    </c:extLst>
                    <c:strCache>
                      <c:ptCount val="1"/>
                      <c:pt idx="0">
                        <c:v>Hand-In-
Stock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'Inventory Records Data'!$B$7:$C$52</c15:sqref>
                        </c15:fullRef>
                        <c15:levelRef>
                          <c15:sqref>'Inventory Records Data'!$B$7:$B$52</c15:sqref>
                        </c15:levelRef>
                        <c15:formulaRef>
                          <c15:sqref>'Inventory Records Data'!$B$7:$B$33</c15:sqref>
                        </c15:formulaRef>
                      </c:ext>
                    </c:extLst>
                    <c:strCache>
                      <c:ptCount val="27"/>
                      <c:pt idx="0">
                        <c:v>P101</c:v>
                      </c:pt>
                      <c:pt idx="1">
                        <c:v>P102</c:v>
                      </c:pt>
                      <c:pt idx="2">
                        <c:v>P103</c:v>
                      </c:pt>
                      <c:pt idx="3">
                        <c:v>P104</c:v>
                      </c:pt>
                      <c:pt idx="4">
                        <c:v>P105</c:v>
                      </c:pt>
                      <c:pt idx="5">
                        <c:v>P106</c:v>
                      </c:pt>
                      <c:pt idx="6">
                        <c:v>P107</c:v>
                      </c:pt>
                      <c:pt idx="7">
                        <c:v>P108</c:v>
                      </c:pt>
                      <c:pt idx="8">
                        <c:v>P109</c:v>
                      </c:pt>
                      <c:pt idx="9">
                        <c:v>P110</c:v>
                      </c:pt>
                      <c:pt idx="10">
                        <c:v>P111</c:v>
                      </c:pt>
                      <c:pt idx="11">
                        <c:v>P112</c:v>
                      </c:pt>
                      <c:pt idx="12">
                        <c:v>P113</c:v>
                      </c:pt>
                      <c:pt idx="13">
                        <c:v>P114</c:v>
                      </c:pt>
                      <c:pt idx="14">
                        <c:v>P115</c:v>
                      </c:pt>
                      <c:pt idx="15">
                        <c:v>P116</c:v>
                      </c:pt>
                      <c:pt idx="16">
                        <c:v>P117</c:v>
                      </c:pt>
                      <c:pt idx="17">
                        <c:v>P118</c:v>
                      </c:pt>
                      <c:pt idx="18">
                        <c:v>P119</c:v>
                      </c:pt>
                      <c:pt idx="19">
                        <c:v>P120</c:v>
                      </c:pt>
                      <c:pt idx="20">
                        <c:v>P121</c:v>
                      </c:pt>
                      <c:pt idx="21">
                        <c:v>P122</c:v>
                      </c:pt>
                      <c:pt idx="22">
                        <c:v>P123</c:v>
                      </c:pt>
                      <c:pt idx="23">
                        <c:v>P124</c:v>
                      </c:pt>
                      <c:pt idx="24">
                        <c:v>P125</c:v>
                      </c:pt>
                      <c:pt idx="25">
                        <c:v>P126</c:v>
                      </c:pt>
                      <c:pt idx="26">
                        <c:v>P127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'Inventory Records Data'!$G$7:$G$52</c15:sqref>
                        </c15:fullRef>
                        <c15:formulaRef>
                          <c15:sqref>'Inventory Records Data'!$G$7:$G$33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60</c:v>
                      </c:pt>
                      <c:pt idx="1">
                        <c:v>50</c:v>
                      </c:pt>
                      <c:pt idx="2">
                        <c:v>70</c:v>
                      </c:pt>
                      <c:pt idx="3">
                        <c:v>37</c:v>
                      </c:pt>
                      <c:pt idx="4">
                        <c:v>80</c:v>
                      </c:pt>
                      <c:pt idx="5">
                        <c:v>55</c:v>
                      </c:pt>
                      <c:pt idx="6">
                        <c:v>65</c:v>
                      </c:pt>
                      <c:pt idx="7">
                        <c:v>32</c:v>
                      </c:pt>
                      <c:pt idx="8">
                        <c:v>43</c:v>
                      </c:pt>
                      <c:pt idx="9">
                        <c:v>50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63</c:v>
                      </c:pt>
                      <c:pt idx="13">
                        <c:v>75</c:v>
                      </c:pt>
                      <c:pt idx="14">
                        <c:v>52</c:v>
                      </c:pt>
                      <c:pt idx="15">
                        <c:v>45</c:v>
                      </c:pt>
                      <c:pt idx="16">
                        <c:v>31</c:v>
                      </c:pt>
                      <c:pt idx="17">
                        <c:v>36</c:v>
                      </c:pt>
                      <c:pt idx="18">
                        <c:v>25</c:v>
                      </c:pt>
                      <c:pt idx="19">
                        <c:v>19</c:v>
                      </c:pt>
                      <c:pt idx="20">
                        <c:v>29</c:v>
                      </c:pt>
                      <c:pt idx="21">
                        <c:v>49</c:v>
                      </c:pt>
                      <c:pt idx="22">
                        <c:v>38</c:v>
                      </c:pt>
                      <c:pt idx="23">
                        <c:v>32</c:v>
                      </c:pt>
                      <c:pt idx="24">
                        <c:v>61</c:v>
                      </c:pt>
                      <c:pt idx="25">
                        <c:v>57</c:v>
                      </c:pt>
                      <c:pt idx="26">
                        <c:v>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5E1-4A4F-99E9-6720EECA450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Data'!$H$6</c15:sqref>
                        </c15:formulaRef>
                      </c:ext>
                    </c:extLst>
                    <c:strCache>
                      <c:ptCount val="1"/>
                      <c:pt idx="0">
                        <c:v>Cost Price 
Per Unit (USD)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'Inventory Records Data'!$B$7:$C$52</c15:sqref>
                        </c15:fullRef>
                        <c15:levelRef>
                          <c15:sqref>'Inventory Records Data'!$B$7:$B$52</c15:sqref>
                        </c15:levelRef>
                        <c15:formulaRef>
                          <c15:sqref>'Inventory Records Data'!$B$7:$B$33</c15:sqref>
                        </c15:formulaRef>
                      </c:ext>
                    </c:extLst>
                    <c:strCache>
                      <c:ptCount val="27"/>
                      <c:pt idx="0">
                        <c:v>P101</c:v>
                      </c:pt>
                      <c:pt idx="1">
                        <c:v>P102</c:v>
                      </c:pt>
                      <c:pt idx="2">
                        <c:v>P103</c:v>
                      </c:pt>
                      <c:pt idx="3">
                        <c:v>P104</c:v>
                      </c:pt>
                      <c:pt idx="4">
                        <c:v>P105</c:v>
                      </c:pt>
                      <c:pt idx="5">
                        <c:v>P106</c:v>
                      </c:pt>
                      <c:pt idx="6">
                        <c:v>P107</c:v>
                      </c:pt>
                      <c:pt idx="7">
                        <c:v>P108</c:v>
                      </c:pt>
                      <c:pt idx="8">
                        <c:v>P109</c:v>
                      </c:pt>
                      <c:pt idx="9">
                        <c:v>P110</c:v>
                      </c:pt>
                      <c:pt idx="10">
                        <c:v>P111</c:v>
                      </c:pt>
                      <c:pt idx="11">
                        <c:v>P112</c:v>
                      </c:pt>
                      <c:pt idx="12">
                        <c:v>P113</c:v>
                      </c:pt>
                      <c:pt idx="13">
                        <c:v>P114</c:v>
                      </c:pt>
                      <c:pt idx="14">
                        <c:v>P115</c:v>
                      </c:pt>
                      <c:pt idx="15">
                        <c:v>P116</c:v>
                      </c:pt>
                      <c:pt idx="16">
                        <c:v>P117</c:v>
                      </c:pt>
                      <c:pt idx="17">
                        <c:v>P118</c:v>
                      </c:pt>
                      <c:pt idx="18">
                        <c:v>P119</c:v>
                      </c:pt>
                      <c:pt idx="19">
                        <c:v>P120</c:v>
                      </c:pt>
                      <c:pt idx="20">
                        <c:v>P121</c:v>
                      </c:pt>
                      <c:pt idx="21">
                        <c:v>P122</c:v>
                      </c:pt>
                      <c:pt idx="22">
                        <c:v>P123</c:v>
                      </c:pt>
                      <c:pt idx="23">
                        <c:v>P124</c:v>
                      </c:pt>
                      <c:pt idx="24">
                        <c:v>P125</c:v>
                      </c:pt>
                      <c:pt idx="25">
                        <c:v>P126</c:v>
                      </c:pt>
                      <c:pt idx="26">
                        <c:v>P127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'Inventory Records Data'!$H$7:$H$52</c15:sqref>
                        </c15:fullRef>
                        <c15:formulaRef>
                          <c15:sqref>'Inventory Records Data'!$H$7:$H$33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1200</c:v>
                      </c:pt>
                      <c:pt idx="1">
                        <c:v>500</c:v>
                      </c:pt>
                      <c:pt idx="2">
                        <c:v>50</c:v>
                      </c:pt>
                      <c:pt idx="3">
                        <c:v>100</c:v>
                      </c:pt>
                      <c:pt idx="4">
                        <c:v>900</c:v>
                      </c:pt>
                      <c:pt idx="5">
                        <c:v>700</c:v>
                      </c:pt>
                      <c:pt idx="6">
                        <c:v>150</c:v>
                      </c:pt>
                      <c:pt idx="7">
                        <c:v>200</c:v>
                      </c:pt>
                      <c:pt idx="8">
                        <c:v>80</c:v>
                      </c:pt>
                      <c:pt idx="9">
                        <c:v>60</c:v>
                      </c:pt>
                      <c:pt idx="10">
                        <c:v>150</c:v>
                      </c:pt>
                      <c:pt idx="11">
                        <c:v>30</c:v>
                      </c:pt>
                      <c:pt idx="12">
                        <c:v>20</c:v>
                      </c:pt>
                      <c:pt idx="13">
                        <c:v>10</c:v>
                      </c:pt>
                      <c:pt idx="14">
                        <c:v>25</c:v>
                      </c:pt>
                      <c:pt idx="15">
                        <c:v>40</c:v>
                      </c:pt>
                      <c:pt idx="16">
                        <c:v>100</c:v>
                      </c:pt>
                      <c:pt idx="17">
                        <c:v>80</c:v>
                      </c:pt>
                      <c:pt idx="18">
                        <c:v>120</c:v>
                      </c:pt>
                      <c:pt idx="19">
                        <c:v>200</c:v>
                      </c:pt>
                      <c:pt idx="20">
                        <c:v>400</c:v>
                      </c:pt>
                      <c:pt idx="21">
                        <c:v>600</c:v>
                      </c:pt>
                      <c:pt idx="22">
                        <c:v>350</c:v>
                      </c:pt>
                      <c:pt idx="23">
                        <c:v>200</c:v>
                      </c:pt>
                      <c:pt idx="24">
                        <c:v>80</c:v>
                      </c:pt>
                      <c:pt idx="25">
                        <c:v>120</c:v>
                      </c:pt>
                      <c:pt idx="26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5E1-4A4F-99E9-6720EECA450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Data'!$I$6</c15:sqref>
                        </c15:formulaRef>
                      </c:ext>
                    </c:extLst>
                    <c:strCache>
                      <c:ptCount val="1"/>
                      <c:pt idx="0">
                        <c:v>Cost Price
Total (USD)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'Inventory Records Data'!$B$7:$C$52</c15:sqref>
                        </c15:fullRef>
                        <c15:levelRef>
                          <c15:sqref>'Inventory Records Data'!$B$7:$B$52</c15:sqref>
                        </c15:levelRef>
                        <c15:formulaRef>
                          <c15:sqref>'Inventory Records Data'!$B$7:$B$33</c15:sqref>
                        </c15:formulaRef>
                      </c:ext>
                    </c:extLst>
                    <c:strCache>
                      <c:ptCount val="27"/>
                      <c:pt idx="0">
                        <c:v>P101</c:v>
                      </c:pt>
                      <c:pt idx="1">
                        <c:v>P102</c:v>
                      </c:pt>
                      <c:pt idx="2">
                        <c:v>P103</c:v>
                      </c:pt>
                      <c:pt idx="3">
                        <c:v>P104</c:v>
                      </c:pt>
                      <c:pt idx="4">
                        <c:v>P105</c:v>
                      </c:pt>
                      <c:pt idx="5">
                        <c:v>P106</c:v>
                      </c:pt>
                      <c:pt idx="6">
                        <c:v>P107</c:v>
                      </c:pt>
                      <c:pt idx="7">
                        <c:v>P108</c:v>
                      </c:pt>
                      <c:pt idx="8">
                        <c:v>P109</c:v>
                      </c:pt>
                      <c:pt idx="9">
                        <c:v>P110</c:v>
                      </c:pt>
                      <c:pt idx="10">
                        <c:v>P111</c:v>
                      </c:pt>
                      <c:pt idx="11">
                        <c:v>P112</c:v>
                      </c:pt>
                      <c:pt idx="12">
                        <c:v>P113</c:v>
                      </c:pt>
                      <c:pt idx="13">
                        <c:v>P114</c:v>
                      </c:pt>
                      <c:pt idx="14">
                        <c:v>P115</c:v>
                      </c:pt>
                      <c:pt idx="15">
                        <c:v>P116</c:v>
                      </c:pt>
                      <c:pt idx="16">
                        <c:v>P117</c:v>
                      </c:pt>
                      <c:pt idx="17">
                        <c:v>P118</c:v>
                      </c:pt>
                      <c:pt idx="18">
                        <c:v>P119</c:v>
                      </c:pt>
                      <c:pt idx="19">
                        <c:v>P120</c:v>
                      </c:pt>
                      <c:pt idx="20">
                        <c:v>P121</c:v>
                      </c:pt>
                      <c:pt idx="21">
                        <c:v>P122</c:v>
                      </c:pt>
                      <c:pt idx="22">
                        <c:v>P123</c:v>
                      </c:pt>
                      <c:pt idx="23">
                        <c:v>P124</c:v>
                      </c:pt>
                      <c:pt idx="24">
                        <c:v>P125</c:v>
                      </c:pt>
                      <c:pt idx="25">
                        <c:v>P126</c:v>
                      </c:pt>
                      <c:pt idx="26">
                        <c:v>P127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'Inventory Records Data'!$I$7:$I$52</c15:sqref>
                        </c15:fullRef>
                        <c15:formulaRef>
                          <c15:sqref>'Inventory Records Data'!$I$7:$I$33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72000</c:v>
                      </c:pt>
                      <c:pt idx="1">
                        <c:v>25000</c:v>
                      </c:pt>
                      <c:pt idx="2">
                        <c:v>3500</c:v>
                      </c:pt>
                      <c:pt idx="3">
                        <c:v>3700</c:v>
                      </c:pt>
                      <c:pt idx="4">
                        <c:v>72000</c:v>
                      </c:pt>
                      <c:pt idx="5">
                        <c:v>38500</c:v>
                      </c:pt>
                      <c:pt idx="6">
                        <c:v>9750</c:v>
                      </c:pt>
                      <c:pt idx="7">
                        <c:v>6400</c:v>
                      </c:pt>
                      <c:pt idx="8">
                        <c:v>3440</c:v>
                      </c:pt>
                      <c:pt idx="9">
                        <c:v>3000</c:v>
                      </c:pt>
                      <c:pt idx="10">
                        <c:v>3750</c:v>
                      </c:pt>
                      <c:pt idx="11">
                        <c:v>1140</c:v>
                      </c:pt>
                      <c:pt idx="12">
                        <c:v>1260</c:v>
                      </c:pt>
                      <c:pt idx="13">
                        <c:v>750</c:v>
                      </c:pt>
                      <c:pt idx="14">
                        <c:v>1300</c:v>
                      </c:pt>
                      <c:pt idx="15">
                        <c:v>1800</c:v>
                      </c:pt>
                      <c:pt idx="16">
                        <c:v>3100</c:v>
                      </c:pt>
                      <c:pt idx="17">
                        <c:v>2880</c:v>
                      </c:pt>
                      <c:pt idx="18">
                        <c:v>3000</c:v>
                      </c:pt>
                      <c:pt idx="19">
                        <c:v>3800</c:v>
                      </c:pt>
                      <c:pt idx="20">
                        <c:v>11600</c:v>
                      </c:pt>
                      <c:pt idx="21">
                        <c:v>29400</c:v>
                      </c:pt>
                      <c:pt idx="22">
                        <c:v>13300</c:v>
                      </c:pt>
                      <c:pt idx="23">
                        <c:v>6400</c:v>
                      </c:pt>
                      <c:pt idx="24">
                        <c:v>4880</c:v>
                      </c:pt>
                      <c:pt idx="25">
                        <c:v>6840</c:v>
                      </c:pt>
                      <c:pt idx="26">
                        <c:v>4380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5E1-4A4F-99E9-6720EECA4501}"/>
                  </c:ext>
                </c:extLst>
              </c15:ser>
            </c15:filteredBarSeries>
          </c:ext>
        </c:extLst>
      </c:barChart>
      <c:catAx>
        <c:axId val="88547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475952"/>
        <c:crosses val="autoZero"/>
        <c:auto val="1"/>
        <c:lblAlgn val="ctr"/>
        <c:lblOffset val="100"/>
        <c:noMultiLvlLbl val="0"/>
      </c:catAx>
      <c:valAx>
        <c:axId val="8854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47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Opening</a:t>
            </a:r>
            <a:r>
              <a:rPr lang="en-US" baseline="0"/>
              <a:t> stock adn purchase stock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C0-4BE6-BCEE-F28AC4BAE5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Data'!$E$8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C0-4BE6-BCEE-F28AC4BAE5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Data'!$E$9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C0-4BE6-BCEE-F28AC4BAE5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Data'!$E$10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C0-4BE6-BCEE-F28AC4BAE5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Data'!$E$11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C0-4BE6-BCEE-F28AC4BAE5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C0-4BE6-BCEE-F28AC4BAE5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Data'!$E$13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C0-4BE6-BCEE-F28AC4BAE5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Data'!$E$14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C0-4BE6-BCEE-F28AC4BAE5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FC0-4BE6-BCEE-F28AC4BAE5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Data'!$E$16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C0-4BE6-BCEE-F28AC4BAE5C8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Data'!$E$17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FC0-4BE6-BCEE-F28AC4BAE5C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Data'!$E$18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C0-4BE6-BCEE-F28AC4BAE5C8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Data'!$E$19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FC0-4BE6-BCEE-F28AC4BAE5C8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Data'!$E$20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C0-4BE6-BCEE-F28AC4BAE5C8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FC0-4BE6-BCEE-F28AC4BAE5C8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Data'!$E$22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FC0-4BE6-BCEE-F28AC4BAE5C8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FC0-4BE6-BCEE-F28AC4BAE5C8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Data'!$E$24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FC0-4BE6-BCEE-F28AC4BAE5C8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FC0-4BE6-BCEE-F28AC4BAE5C8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Data'!$E$26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FC0-4BE6-BCEE-F28AC4BAE5C8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Data'!$E$27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FC0-4BE6-BCEE-F28AC4BAE5C8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Data'!$E$28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FC0-4BE6-BCEE-F28AC4BAE5C8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Data'!$E$29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FC0-4BE6-BCEE-F28AC4BAE5C8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Data'!$E$30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FC0-4BE6-BCEE-F28AC4BAE5C8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Data'!$E$31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FC0-4BE6-BCEE-F28AC4BAE5C8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FC0-4BE6-BCEE-F28AC4BAE5C8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FC0-4BE6-BCEE-F28AC4BAE5C8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FC0-4BE6-BCEE-F28AC4BAE5C8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Data'!$E$35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FC0-4BE6-BCEE-F28AC4BAE5C8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FC0-4BE6-BCEE-F28AC4BAE5C8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Data'!$E$37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FC0-4BE6-BCEE-F28AC4BAE5C8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Data'!$E$38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FC0-4BE6-BCEE-F28AC4BAE5C8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Data'!$E$39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FC0-4BE6-BCEE-F28AC4BAE5C8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Data'!$E$40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FC0-4BE6-BCEE-F28AC4BAE5C8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Data'!$E$41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6FC0-4BE6-BCEE-F28AC4BAE5C8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FC0-4BE6-BCEE-F28AC4BAE5C8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FC0-4BE6-BCEE-F28AC4BAE5C8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Data'!$E$44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FC0-4BE6-BCEE-F28AC4BAE5C8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FC0-4BE6-BCEE-F28AC4BAE5C8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FC0-4BE6-BCEE-F28AC4BAE5C8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Data'!$E$47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FC0-4BE6-BCEE-F28AC4BAE5C8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FC0-4BE6-BCEE-F28AC4BAE5C8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Data'!$E$49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6FC0-4BE6-BCEE-F28AC4BAE5C8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Data'!$E$50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FC0-4BE6-BCEE-F28AC4BAE5C8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Data'!$E$51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FC0-4BE6-BCEE-F28AC4BAE5C8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'Inventory Records Data'!$E$6</c:f>
              <c:strCache>
                <c:ptCount val="1"/>
                <c:pt idx="0">
                  <c:v>Purchase/
Stock in</c:v>
                </c:pt>
              </c:strCache>
            </c:strRef>
          </c:cat>
          <c:val>
            <c:numRef>
              <c:f>'Inventory Records Data'!$E$52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FC0-4BE6-BCEE-F28AC4BAE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491792"/>
        <c:axId val="885499952"/>
      </c:lineChart>
      <c:catAx>
        <c:axId val="88549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499952"/>
        <c:crosses val="autoZero"/>
        <c:auto val="1"/>
        <c:lblAlgn val="ctr"/>
        <c:lblOffset val="100"/>
        <c:noMultiLvlLbl val="0"/>
      </c:catAx>
      <c:valAx>
        <c:axId val="8854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491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Opening</a:t>
            </a:r>
            <a:r>
              <a:rPr lang="en-US" baseline="0"/>
              <a:t> stock vs Purchase Stock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52537182852144"/>
          <c:y val="0.17634259259259263"/>
          <c:w val="0.8964746281714786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'Inventory Records Data'!$C$6:$D$6</c:f>
              <c:strCache>
                <c:ptCount val="2"/>
                <c:pt idx="0">
                  <c:v>Product Name,</c:v>
                </c:pt>
                <c:pt idx="1">
                  <c:v>Opening 
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'Inventory Records Data'!$E$6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3-42CA-934D-6FB8BE0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66992"/>
        <c:axId val="54063632"/>
      </c:barChart>
      <c:catAx>
        <c:axId val="5406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3632"/>
        <c:crosses val="autoZero"/>
        <c:auto val="1"/>
        <c:lblAlgn val="ctr"/>
        <c:lblOffset val="100"/>
        <c:noMultiLvlLbl val="0"/>
      </c:catAx>
      <c:valAx>
        <c:axId val="540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69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</a:t>
            </a:r>
            <a:r>
              <a:rPr lang="en-US" baseline="0"/>
              <a:t> Sold by Product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Records Data'!$B$6</c:f>
              <c:strCache>
                <c:ptCount val="1"/>
                <c:pt idx="0">
                  <c:v>Product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'Inventory Records Data'!$B$7:$B$53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7-4957-845E-96E5EF24A1B3}"/>
            </c:ext>
          </c:extLst>
        </c:ser>
        <c:ser>
          <c:idx val="4"/>
          <c:order val="4"/>
          <c:tx>
            <c:strRef>
              <c:f>'Inventory Records Data'!$F$6</c:f>
              <c:strCache>
                <c:ptCount val="1"/>
                <c:pt idx="0">
                  <c:v>Numbers of units Sold,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'Inventory Records Data'!$F$7:$F$53</c:f>
              <c:numCache>
                <c:formatCode>General</c:formatCode>
                <c:ptCount val="47"/>
                <c:pt idx="0">
                  <c:v>10</c:v>
                </c:pt>
                <c:pt idx="1">
                  <c:v>5</c:v>
                </c:pt>
                <c:pt idx="2">
                  <c:v>15</c:v>
                </c:pt>
                <c:pt idx="3">
                  <c:v>3</c:v>
                </c:pt>
                <c:pt idx="4">
                  <c:v>20</c:v>
                </c:pt>
                <c:pt idx="5">
                  <c:v>8</c:v>
                </c:pt>
                <c:pt idx="6">
                  <c:v>12</c:v>
                </c:pt>
                <c:pt idx="7">
                  <c:v>5</c:v>
                </c:pt>
                <c:pt idx="8">
                  <c:v>7</c:v>
                </c:pt>
                <c:pt idx="9">
                  <c:v>10</c:v>
                </c:pt>
                <c:pt idx="10">
                  <c:v>3</c:v>
                </c:pt>
                <c:pt idx="11">
                  <c:v>7</c:v>
                </c:pt>
                <c:pt idx="12">
                  <c:v>12</c:v>
                </c:pt>
                <c:pt idx="13">
                  <c:v>15</c:v>
                </c:pt>
                <c:pt idx="14">
                  <c:v>8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9</c:v>
                </c:pt>
                <c:pt idx="22">
                  <c:v>7</c:v>
                </c:pt>
                <c:pt idx="23">
                  <c:v>5</c:v>
                </c:pt>
                <c:pt idx="24">
                  <c:v>11</c:v>
                </c:pt>
                <c:pt idx="25">
                  <c:v>8</c:v>
                </c:pt>
                <c:pt idx="26">
                  <c:v>12</c:v>
                </c:pt>
                <c:pt idx="27">
                  <c:v>6</c:v>
                </c:pt>
                <c:pt idx="28">
                  <c:v>9</c:v>
                </c:pt>
                <c:pt idx="29">
                  <c:v>4</c:v>
                </c:pt>
                <c:pt idx="30">
                  <c:v>3</c:v>
                </c:pt>
                <c:pt idx="31">
                  <c:v>8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  <c:pt idx="36">
                  <c:v>4</c:v>
                </c:pt>
                <c:pt idx="37">
                  <c:v>9</c:v>
                </c:pt>
                <c:pt idx="38">
                  <c:v>6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7</c:v>
                </c:pt>
                <c:pt idx="44">
                  <c:v>9</c:v>
                </c:pt>
                <c:pt idx="4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07-4957-845E-96E5EF24A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506448"/>
        <c:axId val="16375074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'Inventory Records Data'!$C$6</c15:sqref>
                        </c15:formulaRef>
                      </c:ext>
                    </c:extLst>
                    <c:strCache>
                      <c:ptCount val="1"/>
                      <c:pt idx="0">
                        <c:v>Product Name,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'Inventory Records Data'!$C$7:$C$53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007-4957-845E-96E5EF24A1B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Data'!$D$6</c15:sqref>
                        </c15:formulaRef>
                      </c:ext>
                    </c:extLst>
                    <c:strCache>
                      <c:ptCount val="1"/>
                      <c:pt idx="0">
                        <c:v>Opening 
Stock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Data'!$D$7:$D$53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50</c:v>
                      </c:pt>
                      <c:pt idx="1">
                        <c:v>40</c:v>
                      </c:pt>
                      <c:pt idx="2">
                        <c:v>60</c:v>
                      </c:pt>
                      <c:pt idx="3">
                        <c:v>30</c:v>
                      </c:pt>
                      <c:pt idx="4">
                        <c:v>70</c:v>
                      </c:pt>
                      <c:pt idx="5">
                        <c:v>45</c:v>
                      </c:pt>
                      <c:pt idx="6">
                        <c:v>55</c:v>
                      </c:pt>
                      <c:pt idx="7">
                        <c:v>25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20</c:v>
                      </c:pt>
                      <c:pt idx="11">
                        <c:v>30</c:v>
                      </c:pt>
                      <c:pt idx="12">
                        <c:v>50</c:v>
                      </c:pt>
                      <c:pt idx="13">
                        <c:v>60</c:v>
                      </c:pt>
                      <c:pt idx="14">
                        <c:v>40</c:v>
                      </c:pt>
                      <c:pt idx="15">
                        <c:v>35</c:v>
                      </c:pt>
                      <c:pt idx="16">
                        <c:v>25</c:v>
                      </c:pt>
                      <c:pt idx="17">
                        <c:v>30</c:v>
                      </c:pt>
                      <c:pt idx="18">
                        <c:v>20</c:v>
                      </c:pt>
                      <c:pt idx="19">
                        <c:v>15</c:v>
                      </c:pt>
                      <c:pt idx="20">
                        <c:v>25</c:v>
                      </c:pt>
                      <c:pt idx="21">
                        <c:v>40</c:v>
                      </c:pt>
                      <c:pt idx="22">
                        <c:v>30</c:v>
                      </c:pt>
                      <c:pt idx="23">
                        <c:v>25</c:v>
                      </c:pt>
                      <c:pt idx="24">
                        <c:v>50</c:v>
                      </c:pt>
                      <c:pt idx="25">
                        <c:v>45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40</c:v>
                      </c:pt>
                      <c:pt idx="29">
                        <c:v>30</c:v>
                      </c:pt>
                      <c:pt idx="30">
                        <c:v>25</c:v>
                      </c:pt>
                      <c:pt idx="31">
                        <c:v>50</c:v>
                      </c:pt>
                      <c:pt idx="32">
                        <c:v>40</c:v>
                      </c:pt>
                      <c:pt idx="33">
                        <c:v>30</c:v>
                      </c:pt>
                      <c:pt idx="34">
                        <c:v>20</c:v>
                      </c:pt>
                      <c:pt idx="35">
                        <c:v>15</c:v>
                      </c:pt>
                      <c:pt idx="36">
                        <c:v>25</c:v>
                      </c:pt>
                      <c:pt idx="37">
                        <c:v>40</c:v>
                      </c:pt>
                      <c:pt idx="38">
                        <c:v>30</c:v>
                      </c:pt>
                      <c:pt idx="39">
                        <c:v>35</c:v>
                      </c:pt>
                      <c:pt idx="40">
                        <c:v>25</c:v>
                      </c:pt>
                      <c:pt idx="41">
                        <c:v>20</c:v>
                      </c:pt>
                      <c:pt idx="42">
                        <c:v>30</c:v>
                      </c:pt>
                      <c:pt idx="43">
                        <c:v>40</c:v>
                      </c:pt>
                      <c:pt idx="44">
                        <c:v>50</c:v>
                      </c:pt>
                      <c:pt idx="45">
                        <c:v>25</c:v>
                      </c:pt>
                      <c:pt idx="4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007-4957-845E-96E5EF24A1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Data'!$E$6</c15:sqref>
                        </c15:formulaRef>
                      </c:ext>
                    </c:extLst>
                    <c:strCache>
                      <c:ptCount val="1"/>
                      <c:pt idx="0">
                        <c:v>Purchase/
Stock in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Data'!$E$7:$E$53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20</c:v>
                      </c:pt>
                      <c:pt idx="1">
                        <c:v>15</c:v>
                      </c:pt>
                      <c:pt idx="2">
                        <c:v>25</c:v>
                      </c:pt>
                      <c:pt idx="3">
                        <c:v>10</c:v>
                      </c:pt>
                      <c:pt idx="4">
                        <c:v>30</c:v>
                      </c:pt>
                      <c:pt idx="5">
                        <c:v>18</c:v>
                      </c:pt>
                      <c:pt idx="6">
                        <c:v>22</c:v>
                      </c:pt>
                      <c:pt idx="7">
                        <c:v>12</c:v>
                      </c:pt>
                      <c:pt idx="8">
                        <c:v>15</c:v>
                      </c:pt>
                      <c:pt idx="9">
                        <c:v>20</c:v>
                      </c:pt>
                      <c:pt idx="10">
                        <c:v>8</c:v>
                      </c:pt>
                      <c:pt idx="11">
                        <c:v>15</c:v>
                      </c:pt>
                      <c:pt idx="12">
                        <c:v>25</c:v>
                      </c:pt>
                      <c:pt idx="13">
                        <c:v>30</c:v>
                      </c:pt>
                      <c:pt idx="14">
                        <c:v>20</c:v>
                      </c:pt>
                      <c:pt idx="15">
                        <c:v>15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8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18</c:v>
                      </c:pt>
                      <c:pt idx="22">
                        <c:v>15</c:v>
                      </c:pt>
                      <c:pt idx="23">
                        <c:v>12</c:v>
                      </c:pt>
                      <c:pt idx="24">
                        <c:v>22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15</c:v>
                      </c:pt>
                      <c:pt idx="28">
                        <c:v>18</c:v>
                      </c:pt>
                      <c:pt idx="29">
                        <c:v>12</c:v>
                      </c:pt>
                      <c:pt idx="30">
                        <c:v>10</c:v>
                      </c:pt>
                      <c:pt idx="31">
                        <c:v>20</c:v>
                      </c:pt>
                      <c:pt idx="32">
                        <c:v>15</c:v>
                      </c:pt>
                      <c:pt idx="33">
                        <c:v>12</c:v>
                      </c:pt>
                      <c:pt idx="34">
                        <c:v>8</c:v>
                      </c:pt>
                      <c:pt idx="35">
                        <c:v>6</c:v>
                      </c:pt>
                      <c:pt idx="36">
                        <c:v>10</c:v>
                      </c:pt>
                      <c:pt idx="37">
                        <c:v>18</c:v>
                      </c:pt>
                      <c:pt idx="38">
                        <c:v>15</c:v>
                      </c:pt>
                      <c:pt idx="39">
                        <c:v>12</c:v>
                      </c:pt>
                      <c:pt idx="40">
                        <c:v>8</c:v>
                      </c:pt>
                      <c:pt idx="41">
                        <c:v>10</c:v>
                      </c:pt>
                      <c:pt idx="42">
                        <c:v>12</c:v>
                      </c:pt>
                      <c:pt idx="43">
                        <c:v>18</c:v>
                      </c:pt>
                      <c:pt idx="44">
                        <c:v>20</c:v>
                      </c:pt>
                      <c:pt idx="45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007-4957-845E-96E5EF24A1B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Data'!$G$6</c15:sqref>
                        </c15:formulaRef>
                      </c:ext>
                    </c:extLst>
                    <c:strCache>
                      <c:ptCount val="1"/>
                      <c:pt idx="0">
                        <c:v>Hand-In-
Stock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Data'!$G$7:$G$53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60</c:v>
                      </c:pt>
                      <c:pt idx="1">
                        <c:v>50</c:v>
                      </c:pt>
                      <c:pt idx="2">
                        <c:v>70</c:v>
                      </c:pt>
                      <c:pt idx="3">
                        <c:v>37</c:v>
                      </c:pt>
                      <c:pt idx="4">
                        <c:v>80</c:v>
                      </c:pt>
                      <c:pt idx="5">
                        <c:v>55</c:v>
                      </c:pt>
                      <c:pt idx="6">
                        <c:v>65</c:v>
                      </c:pt>
                      <c:pt idx="7">
                        <c:v>32</c:v>
                      </c:pt>
                      <c:pt idx="8">
                        <c:v>43</c:v>
                      </c:pt>
                      <c:pt idx="9">
                        <c:v>50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63</c:v>
                      </c:pt>
                      <c:pt idx="13">
                        <c:v>75</c:v>
                      </c:pt>
                      <c:pt idx="14">
                        <c:v>52</c:v>
                      </c:pt>
                      <c:pt idx="15">
                        <c:v>45</c:v>
                      </c:pt>
                      <c:pt idx="16">
                        <c:v>31</c:v>
                      </c:pt>
                      <c:pt idx="17">
                        <c:v>36</c:v>
                      </c:pt>
                      <c:pt idx="18">
                        <c:v>25</c:v>
                      </c:pt>
                      <c:pt idx="19">
                        <c:v>19</c:v>
                      </c:pt>
                      <c:pt idx="20">
                        <c:v>29</c:v>
                      </c:pt>
                      <c:pt idx="21">
                        <c:v>49</c:v>
                      </c:pt>
                      <c:pt idx="22">
                        <c:v>38</c:v>
                      </c:pt>
                      <c:pt idx="23">
                        <c:v>32</c:v>
                      </c:pt>
                      <c:pt idx="24">
                        <c:v>61</c:v>
                      </c:pt>
                      <c:pt idx="25">
                        <c:v>57</c:v>
                      </c:pt>
                      <c:pt idx="26">
                        <c:v>73</c:v>
                      </c:pt>
                      <c:pt idx="27">
                        <c:v>44</c:v>
                      </c:pt>
                      <c:pt idx="28">
                        <c:v>49</c:v>
                      </c:pt>
                      <c:pt idx="29">
                        <c:v>34</c:v>
                      </c:pt>
                      <c:pt idx="30">
                        <c:v>28</c:v>
                      </c:pt>
                      <c:pt idx="31">
                        <c:v>58</c:v>
                      </c:pt>
                      <c:pt idx="32">
                        <c:v>50</c:v>
                      </c:pt>
                      <c:pt idx="33">
                        <c:v>34</c:v>
                      </c:pt>
                      <c:pt idx="34">
                        <c:v>23</c:v>
                      </c:pt>
                      <c:pt idx="35">
                        <c:v>17</c:v>
                      </c:pt>
                      <c:pt idx="36">
                        <c:v>29</c:v>
                      </c:pt>
                      <c:pt idx="37">
                        <c:v>49</c:v>
                      </c:pt>
                      <c:pt idx="38">
                        <c:v>39</c:v>
                      </c:pt>
                      <c:pt idx="39">
                        <c:v>31</c:v>
                      </c:pt>
                      <c:pt idx="40">
                        <c:v>28</c:v>
                      </c:pt>
                      <c:pt idx="41">
                        <c:v>24</c:v>
                      </c:pt>
                      <c:pt idx="42">
                        <c:v>37</c:v>
                      </c:pt>
                      <c:pt idx="43">
                        <c:v>51</c:v>
                      </c:pt>
                      <c:pt idx="44">
                        <c:v>61</c:v>
                      </c:pt>
                      <c:pt idx="45">
                        <c:v>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2007-4957-845E-96E5EF24A1B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Data'!$H$6</c15:sqref>
                        </c15:formulaRef>
                      </c:ext>
                    </c:extLst>
                    <c:strCache>
                      <c:ptCount val="1"/>
                      <c:pt idx="0">
                        <c:v>Cost Price 
Per Unit (USD)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Data'!$H$7:$H$53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1200</c:v>
                      </c:pt>
                      <c:pt idx="1">
                        <c:v>500</c:v>
                      </c:pt>
                      <c:pt idx="2">
                        <c:v>50</c:v>
                      </c:pt>
                      <c:pt idx="3">
                        <c:v>100</c:v>
                      </c:pt>
                      <c:pt idx="4">
                        <c:v>900</c:v>
                      </c:pt>
                      <c:pt idx="5">
                        <c:v>700</c:v>
                      </c:pt>
                      <c:pt idx="6">
                        <c:v>150</c:v>
                      </c:pt>
                      <c:pt idx="7">
                        <c:v>200</c:v>
                      </c:pt>
                      <c:pt idx="8">
                        <c:v>80</c:v>
                      </c:pt>
                      <c:pt idx="9">
                        <c:v>60</c:v>
                      </c:pt>
                      <c:pt idx="10">
                        <c:v>150</c:v>
                      </c:pt>
                      <c:pt idx="11">
                        <c:v>30</c:v>
                      </c:pt>
                      <c:pt idx="12">
                        <c:v>20</c:v>
                      </c:pt>
                      <c:pt idx="13">
                        <c:v>10</c:v>
                      </c:pt>
                      <c:pt idx="14">
                        <c:v>25</c:v>
                      </c:pt>
                      <c:pt idx="15">
                        <c:v>40</c:v>
                      </c:pt>
                      <c:pt idx="16">
                        <c:v>100</c:v>
                      </c:pt>
                      <c:pt idx="17">
                        <c:v>80</c:v>
                      </c:pt>
                      <c:pt idx="18">
                        <c:v>120</c:v>
                      </c:pt>
                      <c:pt idx="19">
                        <c:v>200</c:v>
                      </c:pt>
                      <c:pt idx="20">
                        <c:v>400</c:v>
                      </c:pt>
                      <c:pt idx="21">
                        <c:v>600</c:v>
                      </c:pt>
                      <c:pt idx="22">
                        <c:v>350</c:v>
                      </c:pt>
                      <c:pt idx="23">
                        <c:v>200</c:v>
                      </c:pt>
                      <c:pt idx="24">
                        <c:v>80</c:v>
                      </c:pt>
                      <c:pt idx="25">
                        <c:v>120</c:v>
                      </c:pt>
                      <c:pt idx="26">
                        <c:v>60</c:v>
                      </c:pt>
                      <c:pt idx="27">
                        <c:v>100</c:v>
                      </c:pt>
                      <c:pt idx="28">
                        <c:v>80</c:v>
                      </c:pt>
                      <c:pt idx="29">
                        <c:v>50</c:v>
                      </c:pt>
                      <c:pt idx="30">
                        <c:v>30</c:v>
                      </c:pt>
                      <c:pt idx="31">
                        <c:v>10</c:v>
                      </c:pt>
                      <c:pt idx="32">
                        <c:v>5</c:v>
                      </c:pt>
                      <c:pt idx="33">
                        <c:v>15</c:v>
                      </c:pt>
                      <c:pt idx="34">
                        <c:v>20</c:v>
                      </c:pt>
                      <c:pt idx="35">
                        <c:v>50</c:v>
                      </c:pt>
                      <c:pt idx="36">
                        <c:v>5</c:v>
                      </c:pt>
                      <c:pt idx="37">
                        <c:v>8</c:v>
                      </c:pt>
                      <c:pt idx="38">
                        <c:v>20</c:v>
                      </c:pt>
                      <c:pt idx="39">
                        <c:v>15</c:v>
                      </c:pt>
                      <c:pt idx="40">
                        <c:v>10</c:v>
                      </c:pt>
                      <c:pt idx="41">
                        <c:v>15</c:v>
                      </c:pt>
                      <c:pt idx="42">
                        <c:v>20</c:v>
                      </c:pt>
                      <c:pt idx="43">
                        <c:v>30</c:v>
                      </c:pt>
                      <c:pt idx="44">
                        <c:v>8</c:v>
                      </c:pt>
                      <c:pt idx="45">
                        <c:v>150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007-4957-845E-96E5EF24A1B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Data'!$I$6</c15:sqref>
                        </c15:formulaRef>
                      </c:ext>
                    </c:extLst>
                    <c:strCache>
                      <c:ptCount val="1"/>
                      <c:pt idx="0">
                        <c:v>Cost Price
Total (USD)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'Inventory Records Data'!$I$7:$I$53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72000</c:v>
                      </c:pt>
                      <c:pt idx="1">
                        <c:v>25000</c:v>
                      </c:pt>
                      <c:pt idx="2">
                        <c:v>3500</c:v>
                      </c:pt>
                      <c:pt idx="3">
                        <c:v>3700</c:v>
                      </c:pt>
                      <c:pt idx="4">
                        <c:v>72000</c:v>
                      </c:pt>
                      <c:pt idx="5">
                        <c:v>38500</c:v>
                      </c:pt>
                      <c:pt idx="6">
                        <c:v>9750</c:v>
                      </c:pt>
                      <c:pt idx="7">
                        <c:v>6400</c:v>
                      </c:pt>
                      <c:pt idx="8">
                        <c:v>3440</c:v>
                      </c:pt>
                      <c:pt idx="9">
                        <c:v>3000</c:v>
                      </c:pt>
                      <c:pt idx="10">
                        <c:v>3750</c:v>
                      </c:pt>
                      <c:pt idx="11">
                        <c:v>1140</c:v>
                      </c:pt>
                      <c:pt idx="12">
                        <c:v>1260</c:v>
                      </c:pt>
                      <c:pt idx="13">
                        <c:v>750</c:v>
                      </c:pt>
                      <c:pt idx="14">
                        <c:v>1300</c:v>
                      </c:pt>
                      <c:pt idx="15">
                        <c:v>1800</c:v>
                      </c:pt>
                      <c:pt idx="16">
                        <c:v>3100</c:v>
                      </c:pt>
                      <c:pt idx="17">
                        <c:v>2880</c:v>
                      </c:pt>
                      <c:pt idx="18">
                        <c:v>3000</c:v>
                      </c:pt>
                      <c:pt idx="19">
                        <c:v>3800</c:v>
                      </c:pt>
                      <c:pt idx="20">
                        <c:v>11600</c:v>
                      </c:pt>
                      <c:pt idx="21">
                        <c:v>29400</c:v>
                      </c:pt>
                      <c:pt idx="22">
                        <c:v>13300</c:v>
                      </c:pt>
                      <c:pt idx="23">
                        <c:v>6400</c:v>
                      </c:pt>
                      <c:pt idx="24">
                        <c:v>4880</c:v>
                      </c:pt>
                      <c:pt idx="25">
                        <c:v>6840</c:v>
                      </c:pt>
                      <c:pt idx="26">
                        <c:v>4380</c:v>
                      </c:pt>
                      <c:pt idx="27">
                        <c:v>4400</c:v>
                      </c:pt>
                      <c:pt idx="28">
                        <c:v>3920</c:v>
                      </c:pt>
                      <c:pt idx="29">
                        <c:v>1700</c:v>
                      </c:pt>
                      <c:pt idx="30">
                        <c:v>840</c:v>
                      </c:pt>
                      <c:pt idx="31">
                        <c:v>580</c:v>
                      </c:pt>
                      <c:pt idx="32">
                        <c:v>250</c:v>
                      </c:pt>
                      <c:pt idx="33">
                        <c:v>510</c:v>
                      </c:pt>
                      <c:pt idx="34">
                        <c:v>460</c:v>
                      </c:pt>
                      <c:pt idx="35">
                        <c:v>850</c:v>
                      </c:pt>
                      <c:pt idx="36">
                        <c:v>145</c:v>
                      </c:pt>
                      <c:pt idx="37">
                        <c:v>392</c:v>
                      </c:pt>
                      <c:pt idx="38">
                        <c:v>780</c:v>
                      </c:pt>
                      <c:pt idx="39">
                        <c:v>465</c:v>
                      </c:pt>
                      <c:pt idx="40">
                        <c:v>280</c:v>
                      </c:pt>
                      <c:pt idx="41">
                        <c:v>360</c:v>
                      </c:pt>
                      <c:pt idx="42">
                        <c:v>740</c:v>
                      </c:pt>
                      <c:pt idx="43">
                        <c:v>1530</c:v>
                      </c:pt>
                      <c:pt idx="44">
                        <c:v>488</c:v>
                      </c:pt>
                      <c:pt idx="45">
                        <c:v>4200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2007-4957-845E-96E5EF24A1B3}"/>
                  </c:ext>
                </c:extLst>
              </c15:ser>
            </c15:filteredBarSeries>
          </c:ext>
        </c:extLst>
      </c:barChart>
      <c:catAx>
        <c:axId val="1637506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07408"/>
        <c:crosses val="autoZero"/>
        <c:auto val="1"/>
        <c:lblAlgn val="ctr"/>
        <c:lblOffset val="100"/>
        <c:noMultiLvlLbl val="0"/>
      </c:catAx>
      <c:valAx>
        <c:axId val="16375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37434649937051"/>
          <c:y val="0.24754731556585555"/>
          <c:w val="0.88062565350062949"/>
          <c:h val="0.34656344376419923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Summary!$B$6:$G$8</c:f>
              <c:multiLvlStrCache>
                <c:ptCount val="3"/>
                <c:lvl>
                  <c:pt idx="0">
                    <c:v>7166</c:v>
                  </c:pt>
                  <c:pt idx="2">
                    <c:v>Highest inventory</c:v>
                  </c:pt>
                </c:lvl>
                <c:lvl>
                  <c:pt idx="0">
                    <c:v>43.56521739</c:v>
                  </c:pt>
                  <c:pt idx="2">
                    <c:v>Lowest cost</c:v>
                  </c:pt>
                </c:lvl>
                <c:lvl>
                  <c:pt idx="0">
                    <c:v>314</c:v>
                  </c:pt>
                </c:lvl>
                <c:lvl>
                  <c:pt idx="0">
                    <c:v>707</c:v>
                  </c:pt>
                </c:lvl>
                <c:lvl>
                  <c:pt idx="0">
                    <c:v>870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Summary!$H$6:$H$8</c:f>
              <c:numCache>
                <c:formatCode>General</c:formatCode>
                <c:ptCount val="3"/>
                <c:pt idx="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4-4506-A0E3-9B2E6CAF0B2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Summary!$B$6:$G$8</c:f>
              <c:multiLvlStrCache>
                <c:ptCount val="3"/>
                <c:lvl>
                  <c:pt idx="0">
                    <c:v>7166</c:v>
                  </c:pt>
                  <c:pt idx="2">
                    <c:v>Highest inventory</c:v>
                  </c:pt>
                </c:lvl>
                <c:lvl>
                  <c:pt idx="0">
                    <c:v>43.56521739</c:v>
                  </c:pt>
                  <c:pt idx="2">
                    <c:v>Lowest cost</c:v>
                  </c:pt>
                </c:lvl>
                <c:lvl>
                  <c:pt idx="0">
                    <c:v>314</c:v>
                  </c:pt>
                </c:lvl>
                <c:lvl>
                  <c:pt idx="0">
                    <c:v>707</c:v>
                  </c:pt>
                </c:lvl>
                <c:lvl>
                  <c:pt idx="0">
                    <c:v>870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Summary!$I$6:$I$8</c:f>
              <c:numCache>
                <c:formatCode>General</c:formatCode>
                <c:ptCount val="3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C4-4506-A0E3-9B2E6CAF0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7508368"/>
        <c:axId val="1637514128"/>
      </c:barChart>
      <c:catAx>
        <c:axId val="163750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14128"/>
        <c:crosses val="autoZero"/>
        <c:auto val="1"/>
        <c:lblAlgn val="ctr"/>
        <c:lblOffset val="100"/>
        <c:noMultiLvlLbl val="0"/>
      </c:catAx>
      <c:valAx>
        <c:axId val="163751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0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90512"/>
        <c:axId val="54090032"/>
      </c:lineChart>
      <c:catAx>
        <c:axId val="54090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0032"/>
        <c:crosses val="autoZero"/>
        <c:auto val="1"/>
        <c:lblAlgn val="ctr"/>
        <c:lblOffset val="100"/>
        <c:noMultiLvlLbl val="0"/>
      </c:catAx>
      <c:valAx>
        <c:axId val="540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Opening stock vs Purchase Stock</a:t>
            </a:r>
          </a:p>
        </c:rich>
      </c:tx>
      <c:layout>
        <c:manualLayout>
          <c:xMode val="edge"/>
          <c:yMode val="edge"/>
          <c:x val="0.22167577413479059"/>
          <c:y val="0.17653167185877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14248287270103"/>
          <c:y val="0.31993769470404987"/>
          <c:w val="0.88685751712729899"/>
          <c:h val="0.595578122828104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'Inventory Records Data'!$C$6:$D$6</c:f>
              <c:strCache>
                <c:ptCount val="2"/>
                <c:pt idx="0">
                  <c:v>Product Name,</c:v>
                </c:pt>
                <c:pt idx="1">
                  <c:v>Opening 
Stock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val>
            <c:numRef>
              <c:f>'Inventory Records Data'!$E$6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1-4567-8196-EF20F05F6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4066992"/>
        <c:axId val="54063632"/>
      </c:barChart>
      <c:catAx>
        <c:axId val="5406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3632"/>
        <c:crosses val="autoZero"/>
        <c:auto val="1"/>
        <c:lblAlgn val="ctr"/>
        <c:lblOffset val="100"/>
        <c:noMultiLvlLbl val="0"/>
      </c:catAx>
      <c:valAx>
        <c:axId val="5406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Product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Records Data'!$B$6</c:f>
              <c:strCache>
                <c:ptCount val="1"/>
                <c:pt idx="0">
                  <c:v>Product ID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'Inventory Records Data'!$B$7:$B$53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E-4985-AA50-A0B081DF75BC}"/>
            </c:ext>
          </c:extLst>
        </c:ser>
        <c:ser>
          <c:idx val="4"/>
          <c:order val="4"/>
          <c:tx>
            <c:strRef>
              <c:f>'Inventory Records Data'!$F$6</c:f>
              <c:strCache>
                <c:ptCount val="1"/>
                <c:pt idx="0">
                  <c:v>Numbers of units Sold,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'Inventory Records Data'!$F$7:$F$53</c:f>
              <c:numCache>
                <c:formatCode>General</c:formatCode>
                <c:ptCount val="47"/>
                <c:pt idx="0">
                  <c:v>10</c:v>
                </c:pt>
                <c:pt idx="1">
                  <c:v>5</c:v>
                </c:pt>
                <c:pt idx="2">
                  <c:v>15</c:v>
                </c:pt>
                <c:pt idx="3">
                  <c:v>3</c:v>
                </c:pt>
                <c:pt idx="4">
                  <c:v>20</c:v>
                </c:pt>
                <c:pt idx="5">
                  <c:v>8</c:v>
                </c:pt>
                <c:pt idx="6">
                  <c:v>12</c:v>
                </c:pt>
                <c:pt idx="7">
                  <c:v>5</c:v>
                </c:pt>
                <c:pt idx="8">
                  <c:v>7</c:v>
                </c:pt>
                <c:pt idx="9">
                  <c:v>10</c:v>
                </c:pt>
                <c:pt idx="10">
                  <c:v>3</c:v>
                </c:pt>
                <c:pt idx="11">
                  <c:v>7</c:v>
                </c:pt>
                <c:pt idx="12">
                  <c:v>12</c:v>
                </c:pt>
                <c:pt idx="13">
                  <c:v>15</c:v>
                </c:pt>
                <c:pt idx="14">
                  <c:v>8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9</c:v>
                </c:pt>
                <c:pt idx="22">
                  <c:v>7</c:v>
                </c:pt>
                <c:pt idx="23">
                  <c:v>5</c:v>
                </c:pt>
                <c:pt idx="24">
                  <c:v>11</c:v>
                </c:pt>
                <c:pt idx="25">
                  <c:v>8</c:v>
                </c:pt>
                <c:pt idx="26">
                  <c:v>12</c:v>
                </c:pt>
                <c:pt idx="27">
                  <c:v>6</c:v>
                </c:pt>
                <c:pt idx="28">
                  <c:v>9</c:v>
                </c:pt>
                <c:pt idx="29">
                  <c:v>4</c:v>
                </c:pt>
                <c:pt idx="30">
                  <c:v>3</c:v>
                </c:pt>
                <c:pt idx="31">
                  <c:v>8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  <c:pt idx="36">
                  <c:v>4</c:v>
                </c:pt>
                <c:pt idx="37">
                  <c:v>9</c:v>
                </c:pt>
                <c:pt idx="38">
                  <c:v>6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7</c:v>
                </c:pt>
                <c:pt idx="44">
                  <c:v>9</c:v>
                </c:pt>
                <c:pt idx="4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E-4985-AA50-A0B081DF7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37506448"/>
        <c:axId val="16375074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'Inventory Records Data'!$C$6</c15:sqref>
                        </c15:formulaRef>
                      </c:ext>
                    </c:extLst>
                    <c:strCache>
                      <c:ptCount val="1"/>
                      <c:pt idx="0">
                        <c:v>Product Name,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'Inventory Records Data'!$C$7:$C$53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7EE-4985-AA50-A0B081DF75B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Data'!$D$6</c15:sqref>
                        </c15:formulaRef>
                      </c:ext>
                    </c:extLst>
                    <c:strCache>
                      <c:ptCount val="1"/>
                      <c:pt idx="0">
                        <c:v>Opening 
Stock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Data'!$D$7:$D$53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50</c:v>
                      </c:pt>
                      <c:pt idx="1">
                        <c:v>40</c:v>
                      </c:pt>
                      <c:pt idx="2">
                        <c:v>60</c:v>
                      </c:pt>
                      <c:pt idx="3">
                        <c:v>30</c:v>
                      </c:pt>
                      <c:pt idx="4">
                        <c:v>70</c:v>
                      </c:pt>
                      <c:pt idx="5">
                        <c:v>45</c:v>
                      </c:pt>
                      <c:pt idx="6">
                        <c:v>55</c:v>
                      </c:pt>
                      <c:pt idx="7">
                        <c:v>25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20</c:v>
                      </c:pt>
                      <c:pt idx="11">
                        <c:v>30</c:v>
                      </c:pt>
                      <c:pt idx="12">
                        <c:v>50</c:v>
                      </c:pt>
                      <c:pt idx="13">
                        <c:v>60</c:v>
                      </c:pt>
                      <c:pt idx="14">
                        <c:v>40</c:v>
                      </c:pt>
                      <c:pt idx="15">
                        <c:v>35</c:v>
                      </c:pt>
                      <c:pt idx="16">
                        <c:v>25</c:v>
                      </c:pt>
                      <c:pt idx="17">
                        <c:v>30</c:v>
                      </c:pt>
                      <c:pt idx="18">
                        <c:v>20</c:v>
                      </c:pt>
                      <c:pt idx="19">
                        <c:v>15</c:v>
                      </c:pt>
                      <c:pt idx="20">
                        <c:v>25</c:v>
                      </c:pt>
                      <c:pt idx="21">
                        <c:v>40</c:v>
                      </c:pt>
                      <c:pt idx="22">
                        <c:v>30</c:v>
                      </c:pt>
                      <c:pt idx="23">
                        <c:v>25</c:v>
                      </c:pt>
                      <c:pt idx="24">
                        <c:v>50</c:v>
                      </c:pt>
                      <c:pt idx="25">
                        <c:v>45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40</c:v>
                      </c:pt>
                      <c:pt idx="29">
                        <c:v>30</c:v>
                      </c:pt>
                      <c:pt idx="30">
                        <c:v>25</c:v>
                      </c:pt>
                      <c:pt idx="31">
                        <c:v>50</c:v>
                      </c:pt>
                      <c:pt idx="32">
                        <c:v>40</c:v>
                      </c:pt>
                      <c:pt idx="33">
                        <c:v>30</c:v>
                      </c:pt>
                      <c:pt idx="34">
                        <c:v>20</c:v>
                      </c:pt>
                      <c:pt idx="35">
                        <c:v>15</c:v>
                      </c:pt>
                      <c:pt idx="36">
                        <c:v>25</c:v>
                      </c:pt>
                      <c:pt idx="37">
                        <c:v>40</c:v>
                      </c:pt>
                      <c:pt idx="38">
                        <c:v>30</c:v>
                      </c:pt>
                      <c:pt idx="39">
                        <c:v>35</c:v>
                      </c:pt>
                      <c:pt idx="40">
                        <c:v>25</c:v>
                      </c:pt>
                      <c:pt idx="41">
                        <c:v>20</c:v>
                      </c:pt>
                      <c:pt idx="42">
                        <c:v>30</c:v>
                      </c:pt>
                      <c:pt idx="43">
                        <c:v>40</c:v>
                      </c:pt>
                      <c:pt idx="44">
                        <c:v>50</c:v>
                      </c:pt>
                      <c:pt idx="45">
                        <c:v>25</c:v>
                      </c:pt>
                      <c:pt idx="4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7EE-4985-AA50-A0B081DF75B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Data'!$E$6</c15:sqref>
                        </c15:formulaRef>
                      </c:ext>
                    </c:extLst>
                    <c:strCache>
                      <c:ptCount val="1"/>
                      <c:pt idx="0">
                        <c:v>Purchase/
Stock in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4"/>
                    </a:solidFill>
                    <a:miter lim="800000"/>
                  </a:ln>
                  <a:effectLst>
                    <a:glow rad="63500">
                      <a:schemeClr val="accent4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Data'!$E$7:$E$53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20</c:v>
                      </c:pt>
                      <c:pt idx="1">
                        <c:v>15</c:v>
                      </c:pt>
                      <c:pt idx="2">
                        <c:v>25</c:v>
                      </c:pt>
                      <c:pt idx="3">
                        <c:v>10</c:v>
                      </c:pt>
                      <c:pt idx="4">
                        <c:v>30</c:v>
                      </c:pt>
                      <c:pt idx="5">
                        <c:v>18</c:v>
                      </c:pt>
                      <c:pt idx="6">
                        <c:v>22</c:v>
                      </c:pt>
                      <c:pt idx="7">
                        <c:v>12</c:v>
                      </c:pt>
                      <c:pt idx="8">
                        <c:v>15</c:v>
                      </c:pt>
                      <c:pt idx="9">
                        <c:v>20</c:v>
                      </c:pt>
                      <c:pt idx="10">
                        <c:v>8</c:v>
                      </c:pt>
                      <c:pt idx="11">
                        <c:v>15</c:v>
                      </c:pt>
                      <c:pt idx="12">
                        <c:v>25</c:v>
                      </c:pt>
                      <c:pt idx="13">
                        <c:v>30</c:v>
                      </c:pt>
                      <c:pt idx="14">
                        <c:v>20</c:v>
                      </c:pt>
                      <c:pt idx="15">
                        <c:v>15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8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18</c:v>
                      </c:pt>
                      <c:pt idx="22">
                        <c:v>15</c:v>
                      </c:pt>
                      <c:pt idx="23">
                        <c:v>12</c:v>
                      </c:pt>
                      <c:pt idx="24">
                        <c:v>22</c:v>
                      </c:pt>
                      <c:pt idx="25">
                        <c:v>20</c:v>
                      </c:pt>
                      <c:pt idx="26">
                        <c:v>25</c:v>
                      </c:pt>
                      <c:pt idx="27">
                        <c:v>15</c:v>
                      </c:pt>
                      <c:pt idx="28">
                        <c:v>18</c:v>
                      </c:pt>
                      <c:pt idx="29">
                        <c:v>12</c:v>
                      </c:pt>
                      <c:pt idx="30">
                        <c:v>10</c:v>
                      </c:pt>
                      <c:pt idx="31">
                        <c:v>20</c:v>
                      </c:pt>
                      <c:pt idx="32">
                        <c:v>15</c:v>
                      </c:pt>
                      <c:pt idx="33">
                        <c:v>12</c:v>
                      </c:pt>
                      <c:pt idx="34">
                        <c:v>8</c:v>
                      </c:pt>
                      <c:pt idx="35">
                        <c:v>6</c:v>
                      </c:pt>
                      <c:pt idx="36">
                        <c:v>10</c:v>
                      </c:pt>
                      <c:pt idx="37">
                        <c:v>18</c:v>
                      </c:pt>
                      <c:pt idx="38">
                        <c:v>15</c:v>
                      </c:pt>
                      <c:pt idx="39">
                        <c:v>12</c:v>
                      </c:pt>
                      <c:pt idx="40">
                        <c:v>8</c:v>
                      </c:pt>
                      <c:pt idx="41">
                        <c:v>10</c:v>
                      </c:pt>
                      <c:pt idx="42">
                        <c:v>12</c:v>
                      </c:pt>
                      <c:pt idx="43">
                        <c:v>18</c:v>
                      </c:pt>
                      <c:pt idx="44">
                        <c:v>20</c:v>
                      </c:pt>
                      <c:pt idx="45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7EE-4985-AA50-A0B081DF75B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Data'!$G$6</c15:sqref>
                        </c15:formulaRef>
                      </c:ext>
                    </c:extLst>
                    <c:strCache>
                      <c:ptCount val="1"/>
                      <c:pt idx="0">
                        <c:v>Hand-In-
Stock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6"/>
                    </a:solidFill>
                    <a:miter lim="800000"/>
                  </a:ln>
                  <a:effectLst>
                    <a:glow rad="63500">
                      <a:schemeClr val="accent6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Data'!$G$7:$G$53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60</c:v>
                      </c:pt>
                      <c:pt idx="1">
                        <c:v>50</c:v>
                      </c:pt>
                      <c:pt idx="2">
                        <c:v>70</c:v>
                      </c:pt>
                      <c:pt idx="3">
                        <c:v>37</c:v>
                      </c:pt>
                      <c:pt idx="4">
                        <c:v>80</c:v>
                      </c:pt>
                      <c:pt idx="5">
                        <c:v>55</c:v>
                      </c:pt>
                      <c:pt idx="6">
                        <c:v>65</c:v>
                      </c:pt>
                      <c:pt idx="7">
                        <c:v>32</c:v>
                      </c:pt>
                      <c:pt idx="8">
                        <c:v>43</c:v>
                      </c:pt>
                      <c:pt idx="9">
                        <c:v>50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63</c:v>
                      </c:pt>
                      <c:pt idx="13">
                        <c:v>75</c:v>
                      </c:pt>
                      <c:pt idx="14">
                        <c:v>52</c:v>
                      </c:pt>
                      <c:pt idx="15">
                        <c:v>45</c:v>
                      </c:pt>
                      <c:pt idx="16">
                        <c:v>31</c:v>
                      </c:pt>
                      <c:pt idx="17">
                        <c:v>36</c:v>
                      </c:pt>
                      <c:pt idx="18">
                        <c:v>25</c:v>
                      </c:pt>
                      <c:pt idx="19">
                        <c:v>19</c:v>
                      </c:pt>
                      <c:pt idx="20">
                        <c:v>29</c:v>
                      </c:pt>
                      <c:pt idx="21">
                        <c:v>49</c:v>
                      </c:pt>
                      <c:pt idx="22">
                        <c:v>38</c:v>
                      </c:pt>
                      <c:pt idx="23">
                        <c:v>32</c:v>
                      </c:pt>
                      <c:pt idx="24">
                        <c:v>61</c:v>
                      </c:pt>
                      <c:pt idx="25">
                        <c:v>57</c:v>
                      </c:pt>
                      <c:pt idx="26">
                        <c:v>73</c:v>
                      </c:pt>
                      <c:pt idx="27">
                        <c:v>44</c:v>
                      </c:pt>
                      <c:pt idx="28">
                        <c:v>49</c:v>
                      </c:pt>
                      <c:pt idx="29">
                        <c:v>34</c:v>
                      </c:pt>
                      <c:pt idx="30">
                        <c:v>28</c:v>
                      </c:pt>
                      <c:pt idx="31">
                        <c:v>58</c:v>
                      </c:pt>
                      <c:pt idx="32">
                        <c:v>50</c:v>
                      </c:pt>
                      <c:pt idx="33">
                        <c:v>34</c:v>
                      </c:pt>
                      <c:pt idx="34">
                        <c:v>23</c:v>
                      </c:pt>
                      <c:pt idx="35">
                        <c:v>17</c:v>
                      </c:pt>
                      <c:pt idx="36">
                        <c:v>29</c:v>
                      </c:pt>
                      <c:pt idx="37">
                        <c:v>49</c:v>
                      </c:pt>
                      <c:pt idx="38">
                        <c:v>39</c:v>
                      </c:pt>
                      <c:pt idx="39">
                        <c:v>31</c:v>
                      </c:pt>
                      <c:pt idx="40">
                        <c:v>28</c:v>
                      </c:pt>
                      <c:pt idx="41">
                        <c:v>24</c:v>
                      </c:pt>
                      <c:pt idx="42">
                        <c:v>37</c:v>
                      </c:pt>
                      <c:pt idx="43">
                        <c:v>51</c:v>
                      </c:pt>
                      <c:pt idx="44">
                        <c:v>61</c:v>
                      </c:pt>
                      <c:pt idx="45">
                        <c:v>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7EE-4985-AA50-A0B081DF75B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Data'!$H$6</c15:sqref>
                        </c15:formulaRef>
                      </c:ext>
                    </c:extLst>
                    <c:strCache>
                      <c:ptCount val="1"/>
                      <c:pt idx="0">
                        <c:v>Cost Price 
Per Unit (USD)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1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Data'!$H$7:$H$53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1200</c:v>
                      </c:pt>
                      <c:pt idx="1">
                        <c:v>500</c:v>
                      </c:pt>
                      <c:pt idx="2">
                        <c:v>50</c:v>
                      </c:pt>
                      <c:pt idx="3">
                        <c:v>100</c:v>
                      </c:pt>
                      <c:pt idx="4">
                        <c:v>900</c:v>
                      </c:pt>
                      <c:pt idx="5">
                        <c:v>700</c:v>
                      </c:pt>
                      <c:pt idx="6">
                        <c:v>150</c:v>
                      </c:pt>
                      <c:pt idx="7">
                        <c:v>200</c:v>
                      </c:pt>
                      <c:pt idx="8">
                        <c:v>80</c:v>
                      </c:pt>
                      <c:pt idx="9">
                        <c:v>60</c:v>
                      </c:pt>
                      <c:pt idx="10">
                        <c:v>150</c:v>
                      </c:pt>
                      <c:pt idx="11">
                        <c:v>30</c:v>
                      </c:pt>
                      <c:pt idx="12">
                        <c:v>20</c:v>
                      </c:pt>
                      <c:pt idx="13">
                        <c:v>10</c:v>
                      </c:pt>
                      <c:pt idx="14">
                        <c:v>25</c:v>
                      </c:pt>
                      <c:pt idx="15">
                        <c:v>40</c:v>
                      </c:pt>
                      <c:pt idx="16">
                        <c:v>100</c:v>
                      </c:pt>
                      <c:pt idx="17">
                        <c:v>80</c:v>
                      </c:pt>
                      <c:pt idx="18">
                        <c:v>120</c:v>
                      </c:pt>
                      <c:pt idx="19">
                        <c:v>200</c:v>
                      </c:pt>
                      <c:pt idx="20">
                        <c:v>400</c:v>
                      </c:pt>
                      <c:pt idx="21">
                        <c:v>600</c:v>
                      </c:pt>
                      <c:pt idx="22">
                        <c:v>350</c:v>
                      </c:pt>
                      <c:pt idx="23">
                        <c:v>200</c:v>
                      </c:pt>
                      <c:pt idx="24">
                        <c:v>80</c:v>
                      </c:pt>
                      <c:pt idx="25">
                        <c:v>120</c:v>
                      </c:pt>
                      <c:pt idx="26">
                        <c:v>60</c:v>
                      </c:pt>
                      <c:pt idx="27">
                        <c:v>100</c:v>
                      </c:pt>
                      <c:pt idx="28">
                        <c:v>80</c:v>
                      </c:pt>
                      <c:pt idx="29">
                        <c:v>50</c:v>
                      </c:pt>
                      <c:pt idx="30">
                        <c:v>30</c:v>
                      </c:pt>
                      <c:pt idx="31">
                        <c:v>10</c:v>
                      </c:pt>
                      <c:pt idx="32">
                        <c:v>5</c:v>
                      </c:pt>
                      <c:pt idx="33">
                        <c:v>15</c:v>
                      </c:pt>
                      <c:pt idx="34">
                        <c:v>20</c:v>
                      </c:pt>
                      <c:pt idx="35">
                        <c:v>50</c:v>
                      </c:pt>
                      <c:pt idx="36">
                        <c:v>5</c:v>
                      </c:pt>
                      <c:pt idx="37">
                        <c:v>8</c:v>
                      </c:pt>
                      <c:pt idx="38">
                        <c:v>20</c:v>
                      </c:pt>
                      <c:pt idx="39">
                        <c:v>15</c:v>
                      </c:pt>
                      <c:pt idx="40">
                        <c:v>10</c:v>
                      </c:pt>
                      <c:pt idx="41">
                        <c:v>15</c:v>
                      </c:pt>
                      <c:pt idx="42">
                        <c:v>20</c:v>
                      </c:pt>
                      <c:pt idx="43">
                        <c:v>30</c:v>
                      </c:pt>
                      <c:pt idx="44">
                        <c:v>8</c:v>
                      </c:pt>
                      <c:pt idx="45">
                        <c:v>150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7EE-4985-AA50-A0B081DF75B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Data'!$I$6</c15:sqref>
                        </c15:formulaRef>
                      </c:ext>
                    </c:extLst>
                    <c:strCache>
                      <c:ptCount val="1"/>
                      <c:pt idx="0">
                        <c:v>Cost Price
Total (USD)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2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'Inventory Records Data'!$I$7:$I$53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72000</c:v>
                      </c:pt>
                      <c:pt idx="1">
                        <c:v>25000</c:v>
                      </c:pt>
                      <c:pt idx="2">
                        <c:v>3500</c:v>
                      </c:pt>
                      <c:pt idx="3">
                        <c:v>3700</c:v>
                      </c:pt>
                      <c:pt idx="4">
                        <c:v>72000</c:v>
                      </c:pt>
                      <c:pt idx="5">
                        <c:v>38500</c:v>
                      </c:pt>
                      <c:pt idx="6">
                        <c:v>9750</c:v>
                      </c:pt>
                      <c:pt idx="7">
                        <c:v>6400</c:v>
                      </c:pt>
                      <c:pt idx="8">
                        <c:v>3440</c:v>
                      </c:pt>
                      <c:pt idx="9">
                        <c:v>3000</c:v>
                      </c:pt>
                      <c:pt idx="10">
                        <c:v>3750</c:v>
                      </c:pt>
                      <c:pt idx="11">
                        <c:v>1140</c:v>
                      </c:pt>
                      <c:pt idx="12">
                        <c:v>1260</c:v>
                      </c:pt>
                      <c:pt idx="13">
                        <c:v>750</c:v>
                      </c:pt>
                      <c:pt idx="14">
                        <c:v>1300</c:v>
                      </c:pt>
                      <c:pt idx="15">
                        <c:v>1800</c:v>
                      </c:pt>
                      <c:pt idx="16">
                        <c:v>3100</c:v>
                      </c:pt>
                      <c:pt idx="17">
                        <c:v>2880</c:v>
                      </c:pt>
                      <c:pt idx="18">
                        <c:v>3000</c:v>
                      </c:pt>
                      <c:pt idx="19">
                        <c:v>3800</c:v>
                      </c:pt>
                      <c:pt idx="20">
                        <c:v>11600</c:v>
                      </c:pt>
                      <c:pt idx="21">
                        <c:v>29400</c:v>
                      </c:pt>
                      <c:pt idx="22">
                        <c:v>13300</c:v>
                      </c:pt>
                      <c:pt idx="23">
                        <c:v>6400</c:v>
                      </c:pt>
                      <c:pt idx="24">
                        <c:v>4880</c:v>
                      </c:pt>
                      <c:pt idx="25">
                        <c:v>6840</c:v>
                      </c:pt>
                      <c:pt idx="26">
                        <c:v>4380</c:v>
                      </c:pt>
                      <c:pt idx="27">
                        <c:v>4400</c:v>
                      </c:pt>
                      <c:pt idx="28">
                        <c:v>3920</c:v>
                      </c:pt>
                      <c:pt idx="29">
                        <c:v>1700</c:v>
                      </c:pt>
                      <c:pt idx="30">
                        <c:v>840</c:v>
                      </c:pt>
                      <c:pt idx="31">
                        <c:v>580</c:v>
                      </c:pt>
                      <c:pt idx="32">
                        <c:v>250</c:v>
                      </c:pt>
                      <c:pt idx="33">
                        <c:v>510</c:v>
                      </c:pt>
                      <c:pt idx="34">
                        <c:v>460</c:v>
                      </c:pt>
                      <c:pt idx="35">
                        <c:v>850</c:v>
                      </c:pt>
                      <c:pt idx="36">
                        <c:v>145</c:v>
                      </c:pt>
                      <c:pt idx="37">
                        <c:v>392</c:v>
                      </c:pt>
                      <c:pt idx="38">
                        <c:v>780</c:v>
                      </c:pt>
                      <c:pt idx="39">
                        <c:v>465</c:v>
                      </c:pt>
                      <c:pt idx="40">
                        <c:v>280</c:v>
                      </c:pt>
                      <c:pt idx="41">
                        <c:v>360</c:v>
                      </c:pt>
                      <c:pt idx="42">
                        <c:v>740</c:v>
                      </c:pt>
                      <c:pt idx="43">
                        <c:v>1530</c:v>
                      </c:pt>
                      <c:pt idx="44">
                        <c:v>488</c:v>
                      </c:pt>
                      <c:pt idx="45">
                        <c:v>4200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7EE-4985-AA50-A0B081DF75BC}"/>
                  </c:ext>
                </c:extLst>
              </c15:ser>
            </c15:filteredBarSeries>
          </c:ext>
        </c:extLst>
      </c:barChart>
      <c:catAx>
        <c:axId val="16375064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07408"/>
        <c:crosses val="autoZero"/>
        <c:auto val="1"/>
        <c:lblAlgn val="ctr"/>
        <c:lblOffset val="100"/>
        <c:noMultiLvlLbl val="0"/>
      </c:catAx>
      <c:valAx>
        <c:axId val="1637507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922020</xdr:colOff>
      <xdr:row>0</xdr:row>
      <xdr:rowOff>0</xdr:rowOff>
    </xdr:from>
    <xdr:to>
      <xdr:col>17</xdr:col>
      <xdr:colOff>556260</xdr:colOff>
      <xdr:row>13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92C63B-CD1E-66A4-E77E-4CACAE6E2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13</xdr:row>
      <xdr:rowOff>87630</xdr:rowOff>
    </xdr:from>
    <xdr:to>
      <xdr:col>15</xdr:col>
      <xdr:colOff>167640</xdr:colOff>
      <xdr:row>28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D821C4-47B9-DD12-DC07-C59AD448A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327660</xdr:colOff>
      <xdr:row>25</xdr:row>
      <xdr:rowOff>125730</xdr:rowOff>
    </xdr:from>
    <xdr:to>
      <xdr:col>13</xdr:col>
      <xdr:colOff>441960</xdr:colOff>
      <xdr:row>37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A36DE-271E-A84D-D5EF-C2BA560B0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182880</xdr:colOff>
      <xdr:row>13</xdr:row>
      <xdr:rowOff>125730</xdr:rowOff>
    </xdr:from>
    <xdr:to>
      <xdr:col>22</xdr:col>
      <xdr:colOff>60960</xdr:colOff>
      <xdr:row>27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CEF8A2-BC52-89CC-BC6B-1E515786F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8</xdr:row>
      <xdr:rowOff>34290</xdr:rowOff>
    </xdr:from>
    <xdr:to>
      <xdr:col>4</xdr:col>
      <xdr:colOff>1051560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EF98B-F7FE-644C-2DF4-2A93D2A68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148590</xdr:rowOff>
    </xdr:from>
    <xdr:to>
      <xdr:col>1</xdr:col>
      <xdr:colOff>708660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17652B-157B-6F2A-44FF-46AB0CAA5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</xdr:colOff>
      <xdr:row>6</xdr:row>
      <xdr:rowOff>30480</xdr:rowOff>
    </xdr:from>
    <xdr:to>
      <xdr:col>12</xdr:col>
      <xdr:colOff>7620</xdr:colOff>
      <xdr:row>19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0F02DF-1C2C-4197-8782-9FFD70517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</xdr:colOff>
      <xdr:row>19</xdr:row>
      <xdr:rowOff>121920</xdr:rowOff>
    </xdr:from>
    <xdr:to>
      <xdr:col>8</xdr:col>
      <xdr:colOff>480060</xdr:colOff>
      <xdr:row>33</xdr:row>
      <xdr:rowOff>163830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A19880-AA0A-4562-8CD8-615DF6088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T59"/>
  <sheetViews>
    <sheetView showGridLines="0" topLeftCell="I5" workbookViewId="0">
      <selection activeCell="F6" sqref="F6"/>
    </sheetView>
  </sheetViews>
  <sheetFormatPr defaultColWidth="8.88671875" defaultRowHeight="14.4" x14ac:dyDescent="0.3"/>
  <cols>
    <col min="1" max="1" width="3.5546875" style="1" customWidth="1"/>
    <col min="2" max="2" width="12.5546875" style="1" customWidth="1"/>
    <col min="3" max="3" width="20.88671875" style="1" customWidth="1"/>
    <col min="4" max="4" width="10.88671875" style="1" customWidth="1"/>
    <col min="5" max="5" width="12" style="1" customWidth="1"/>
    <col min="6" max="6" width="12.6640625" style="1" customWidth="1"/>
    <col min="7" max="7" width="10.5546875" style="1" customWidth="1"/>
    <col min="8" max="8" width="15.109375" style="1" customWidth="1"/>
    <col min="9" max="9" width="13.6640625" style="1" customWidth="1"/>
    <col min="10" max="16384" width="8.88671875" style="1"/>
  </cols>
  <sheetData>
    <row r="2" spans="2:20" ht="18.600000000000001" thickBot="1" x14ac:dyDescent="0.35">
      <c r="B2" s="2" t="s">
        <v>0</v>
      </c>
      <c r="C2" s="2"/>
      <c r="D2" s="2"/>
      <c r="E2" s="2"/>
      <c r="F2" s="2"/>
      <c r="G2" s="2"/>
      <c r="H2" s="2"/>
      <c r="I2" s="2"/>
    </row>
    <row r="4" spans="2:20" ht="18.600000000000001" thickBot="1" x14ac:dyDescent="0.35">
      <c r="B4" s="3" t="s">
        <v>1</v>
      </c>
      <c r="C4" s="2"/>
      <c r="D4" s="2"/>
      <c r="E4" s="2"/>
      <c r="F4" s="2"/>
      <c r="G4" s="2"/>
      <c r="H4" s="2"/>
      <c r="I4" s="2"/>
    </row>
    <row r="6" spans="2:20" ht="31.2" x14ac:dyDescent="0.3">
      <c r="B6" s="4" t="s">
        <v>2</v>
      </c>
      <c r="C6" s="5" t="s">
        <v>112</v>
      </c>
      <c r="D6" s="5" t="s">
        <v>3</v>
      </c>
      <c r="E6" s="5" t="s">
        <v>4</v>
      </c>
      <c r="F6" s="5" t="s">
        <v>113</v>
      </c>
      <c r="G6" s="5" t="s">
        <v>5</v>
      </c>
      <c r="H6" s="5" t="s">
        <v>6</v>
      </c>
      <c r="I6" s="5" t="s">
        <v>7</v>
      </c>
    </row>
    <row r="7" spans="2:20" x14ac:dyDescent="0.3">
      <c r="B7" s="6" t="s">
        <v>8</v>
      </c>
      <c r="C7" s="6" t="s">
        <v>9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v>72000</v>
      </c>
    </row>
    <row r="8" spans="2:20" x14ac:dyDescent="0.3">
      <c r="B8" s="6" t="s">
        <v>10</v>
      </c>
      <c r="C8" s="6" t="s">
        <v>11</v>
      </c>
      <c r="D8" s="6">
        <v>40</v>
      </c>
      <c r="E8" s="6">
        <v>15</v>
      </c>
      <c r="F8" s="6">
        <v>5</v>
      </c>
      <c r="G8" s="6">
        <v>50</v>
      </c>
      <c r="H8" s="6">
        <v>500</v>
      </c>
      <c r="I8" s="6">
        <v>25000</v>
      </c>
    </row>
    <row r="9" spans="2:20" x14ac:dyDescent="0.3">
      <c r="B9" s="6" t="s">
        <v>12</v>
      </c>
      <c r="C9" s="6" t="s">
        <v>13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</row>
    <row r="10" spans="2:20" x14ac:dyDescent="0.3">
      <c r="B10" s="6" t="s">
        <v>14</v>
      </c>
      <c r="C10" s="6" t="s">
        <v>15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</row>
    <row r="11" spans="2:20" x14ac:dyDescent="0.3">
      <c r="B11" s="6" t="s">
        <v>16</v>
      </c>
      <c r="C11" s="6" t="s">
        <v>17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2:20" x14ac:dyDescent="0.3">
      <c r="B12" s="6" t="s">
        <v>18</v>
      </c>
      <c r="C12" s="6" t="s">
        <v>19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2:20" x14ac:dyDescent="0.3">
      <c r="B13" s="6" t="s">
        <v>20</v>
      </c>
      <c r="C13" s="6" t="s">
        <v>21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2:20" x14ac:dyDescent="0.3">
      <c r="B14" s="6" t="s">
        <v>22</v>
      </c>
      <c r="C14" s="6" t="s">
        <v>23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2:20" x14ac:dyDescent="0.3">
      <c r="B15" s="6" t="s">
        <v>24</v>
      </c>
      <c r="C15" s="6" t="s">
        <v>25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  <c r="T15" s="1">
        <f>SUM('Inventory Records Data'!C7:C53)</f>
        <v>0</v>
      </c>
    </row>
    <row r="16" spans="2:20" x14ac:dyDescent="0.3">
      <c r="B16" s="6" t="s">
        <v>26</v>
      </c>
      <c r="C16" s="6" t="s">
        <v>27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  <c r="T16" s="1">
        <f>SUM('Inventory Records Data'!D7:D29)</f>
        <v>870</v>
      </c>
    </row>
    <row r="17" spans="2:9" x14ac:dyDescent="0.3">
      <c r="B17" s="6" t="s">
        <v>28</v>
      </c>
      <c r="C17" s="6" t="s">
        <v>29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 x14ac:dyDescent="0.3">
      <c r="B18" s="6" t="s">
        <v>30</v>
      </c>
      <c r="C18" s="6" t="s">
        <v>31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 x14ac:dyDescent="0.3">
      <c r="B19" s="6" t="s">
        <v>32</v>
      </c>
      <c r="C19" s="6" t="s">
        <v>33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 x14ac:dyDescent="0.3">
      <c r="B20" s="6" t="s">
        <v>34</v>
      </c>
      <c r="C20" s="6" t="s">
        <v>35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 x14ac:dyDescent="0.3">
      <c r="B21" s="6" t="s">
        <v>36</v>
      </c>
      <c r="C21" s="6" t="s">
        <v>37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 x14ac:dyDescent="0.3">
      <c r="B22" s="6" t="s">
        <v>38</v>
      </c>
      <c r="C22" s="6" t="s">
        <v>39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 x14ac:dyDescent="0.3">
      <c r="B23" s="6" t="s">
        <v>40</v>
      </c>
      <c r="C23" s="6" t="s">
        <v>41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 x14ac:dyDescent="0.3">
      <c r="B24" s="6" t="s">
        <v>42</v>
      </c>
      <c r="C24" s="6" t="s">
        <v>43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 x14ac:dyDescent="0.3">
      <c r="B25" s="6" t="s">
        <v>44</v>
      </c>
      <c r="C25" s="6" t="s">
        <v>45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 x14ac:dyDescent="0.3">
      <c r="B26" s="6" t="s">
        <v>46</v>
      </c>
      <c r="C26" s="6" t="s">
        <v>47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 x14ac:dyDescent="0.3">
      <c r="B27" s="6" t="s">
        <v>48</v>
      </c>
      <c r="C27" s="6" t="s">
        <v>49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 x14ac:dyDescent="0.3">
      <c r="B28" s="6" t="s">
        <v>50</v>
      </c>
      <c r="C28" s="6" t="s">
        <v>51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 x14ac:dyDescent="0.3">
      <c r="B29" s="6" t="s">
        <v>52</v>
      </c>
      <c r="C29" s="6" t="s">
        <v>53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 x14ac:dyDescent="0.3">
      <c r="B30" s="6" t="s">
        <v>54</v>
      </c>
      <c r="C30" s="6" t="s">
        <v>55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 x14ac:dyDescent="0.3">
      <c r="B31" s="6" t="s">
        <v>56</v>
      </c>
      <c r="C31" s="6" t="s">
        <v>57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 x14ac:dyDescent="0.3">
      <c r="B32" s="6" t="s">
        <v>58</v>
      </c>
      <c r="C32" s="6" t="s">
        <v>59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 x14ac:dyDescent="0.3">
      <c r="B33" s="6" t="s">
        <v>60</v>
      </c>
      <c r="C33" s="6" t="s">
        <v>61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 x14ac:dyDescent="0.3">
      <c r="B34" s="6" t="s">
        <v>62</v>
      </c>
      <c r="C34" s="6" t="s">
        <v>63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 x14ac:dyDescent="0.3">
      <c r="B35" s="6" t="s">
        <v>64</v>
      </c>
      <c r="C35" s="6" t="s">
        <v>65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 x14ac:dyDescent="0.3">
      <c r="B36" s="6" t="s">
        <v>66</v>
      </c>
      <c r="C36" s="6" t="s">
        <v>67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 x14ac:dyDescent="0.3">
      <c r="B37" s="6" t="s">
        <v>68</v>
      </c>
      <c r="C37" s="6" t="s">
        <v>69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 x14ac:dyDescent="0.3">
      <c r="B38" s="6" t="s">
        <v>70</v>
      </c>
      <c r="C38" s="6" t="s">
        <v>71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 x14ac:dyDescent="0.3">
      <c r="B39" s="6" t="s">
        <v>72</v>
      </c>
      <c r="C39" s="6" t="s">
        <v>73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 x14ac:dyDescent="0.3">
      <c r="B40" s="6" t="s">
        <v>74</v>
      </c>
      <c r="C40" s="6" t="s">
        <v>75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 x14ac:dyDescent="0.3">
      <c r="B41" s="6" t="s">
        <v>76</v>
      </c>
      <c r="C41" s="6" t="s">
        <v>77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 x14ac:dyDescent="0.3">
      <c r="B42" s="6" t="s">
        <v>78</v>
      </c>
      <c r="C42" s="6" t="s">
        <v>79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 x14ac:dyDescent="0.3">
      <c r="B43" s="6" t="s">
        <v>80</v>
      </c>
      <c r="C43" s="6" t="s">
        <v>81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 x14ac:dyDescent="0.3">
      <c r="B44" s="6" t="s">
        <v>82</v>
      </c>
      <c r="C44" s="6" t="s">
        <v>83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 x14ac:dyDescent="0.3">
      <c r="B45" s="6" t="s">
        <v>84</v>
      </c>
      <c r="C45" s="6" t="s">
        <v>85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 x14ac:dyDescent="0.3">
      <c r="B46" s="6" t="s">
        <v>86</v>
      </c>
      <c r="C46" s="6" t="s">
        <v>87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 x14ac:dyDescent="0.3">
      <c r="B47" s="6" t="s">
        <v>88</v>
      </c>
      <c r="C47" s="6" t="s">
        <v>89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 x14ac:dyDescent="0.3">
      <c r="B48" s="6" t="s">
        <v>90</v>
      </c>
      <c r="C48" s="6" t="s">
        <v>91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 x14ac:dyDescent="0.3">
      <c r="B49" s="6" t="s">
        <v>92</v>
      </c>
      <c r="C49" s="6" t="s">
        <v>93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 x14ac:dyDescent="0.3">
      <c r="B50" s="6" t="s">
        <v>94</v>
      </c>
      <c r="C50" s="6" t="s">
        <v>95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 x14ac:dyDescent="0.3">
      <c r="B51" s="6" t="s">
        <v>96</v>
      </c>
      <c r="C51" s="6" t="s">
        <v>97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 x14ac:dyDescent="0.3">
      <c r="B52" s="6" t="s">
        <v>98</v>
      </c>
      <c r="C52" s="6" t="s">
        <v>99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  <row r="53" spans="2:9" x14ac:dyDescent="0.3">
      <c r="D53" s="1" t="e" cm="1">
        <f t="array" ref="D53">sum</f>
        <v>#NAME?</v>
      </c>
    </row>
    <row r="59" spans="2:9" x14ac:dyDescent="0.3">
      <c r="E59" s="1" t="e">
        <f>SUM(C7+C53)</f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9E23-9C56-4773-BBC5-D8378A6A16C4}">
  <dimension ref="B4:I11"/>
  <sheetViews>
    <sheetView tabSelected="1" topLeftCell="A4" workbookViewId="0">
      <selection activeCell="L32" sqref="L32"/>
    </sheetView>
  </sheetViews>
  <sheetFormatPr defaultRowHeight="14.4" x14ac:dyDescent="0.3"/>
  <cols>
    <col min="2" max="2" width="16.88671875" customWidth="1"/>
    <col min="3" max="3" width="19" customWidth="1"/>
    <col min="4" max="4" width="13" customWidth="1"/>
    <col min="5" max="5" width="16" customWidth="1"/>
    <col min="6" max="6" width="18.109375" customWidth="1"/>
    <col min="7" max="7" width="17.6640625" customWidth="1"/>
    <col min="8" max="8" width="17.77734375" customWidth="1"/>
    <col min="9" max="9" width="16.77734375" customWidth="1"/>
  </cols>
  <sheetData>
    <row r="4" spans="2:9" x14ac:dyDescent="0.3">
      <c r="B4" s="7" t="s">
        <v>100</v>
      </c>
      <c r="C4" s="7" t="s">
        <v>101</v>
      </c>
      <c r="D4" s="7" t="s">
        <v>102</v>
      </c>
      <c r="E4" s="7" t="s">
        <v>103</v>
      </c>
      <c r="F4" s="7" t="s">
        <v>104</v>
      </c>
      <c r="G4" s="7" t="s">
        <v>105</v>
      </c>
      <c r="H4" s="7" t="s">
        <v>106</v>
      </c>
      <c r="I4" s="7" t="s">
        <v>107</v>
      </c>
    </row>
    <row r="6" spans="2:9" x14ac:dyDescent="0.3">
      <c r="B6">
        <f>SUM('Inventory Records Data'!C7:C53)</f>
        <v>0</v>
      </c>
      <c r="C6">
        <v>870</v>
      </c>
      <c r="D6">
        <f>SUM('Inventory Records Data'!E7:E53)</f>
        <v>707</v>
      </c>
      <c r="E6">
        <f>SUM('Inventory Records Data'!F7:F53)</f>
        <v>314</v>
      </c>
      <c r="F6">
        <f>AVERAGE('Inventory Records Data'!G7:G53)</f>
        <v>43.565217391304351</v>
      </c>
      <c r="G6">
        <f>SUM('Inventory Records Data'!H7:H53)</f>
        <v>7166</v>
      </c>
      <c r="H6">
        <v>1200</v>
      </c>
      <c r="I6">
        <f>MIN('Inventory Records Data'!H7:H53)</f>
        <v>5</v>
      </c>
    </row>
    <row r="8" spans="2:9" x14ac:dyDescent="0.3">
      <c r="F8" s="8" t="s">
        <v>110</v>
      </c>
      <c r="G8" s="7" t="s">
        <v>108</v>
      </c>
    </row>
    <row r="10" spans="2:9" x14ac:dyDescent="0.3">
      <c r="F10" t="s">
        <v>111</v>
      </c>
      <c r="G10" t="s">
        <v>9</v>
      </c>
    </row>
    <row r="11" spans="2:9" x14ac:dyDescent="0.3">
      <c r="F11" t="s">
        <v>35</v>
      </c>
      <c r="G11" t="s">
        <v>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Records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Harshil Panchal</cp:lastModifiedBy>
  <dcterms:created xsi:type="dcterms:W3CDTF">2024-02-19T11:46:38Z</dcterms:created>
  <dcterms:modified xsi:type="dcterms:W3CDTF">2025-12-19T19:46:26Z</dcterms:modified>
</cp:coreProperties>
</file>